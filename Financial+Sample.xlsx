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166A1085-CC03-4F43-B72F-1F2B5C55DD42}" xr6:coauthVersionLast="47" xr6:coauthVersionMax="47" xr10:uidLastSave="{00000000-0000-0000-0000-000000000000}"/>
  <bookViews>
    <workbookView xWindow="-108" yWindow="-108" windowWidth="23256" windowHeight="12456" activeTab="2" xr2:uid="{00000000-000D-0000-FFFF-FFFF00000000}"/>
  </bookViews>
  <sheets>
    <sheet name="Sale Data Analysis " sheetId="1" r:id="rId1"/>
    <sheet name="Pivot Table " sheetId="2" r:id="rId2"/>
    <sheet name="Smart Finacial Analysis " sheetId="3" r:id="rId3"/>
  </sheets>
  <definedNames>
    <definedName name="_xlnm._FilterDatabase" localSheetId="0" hidden="1">'Sale Data Analysis '!$A$1:$P$701</definedName>
    <definedName name="NativeTimeline_Date">#N/A</definedName>
    <definedName name="Slicer_Country">#N/A</definedName>
    <definedName name="Slicer_Discount_Band">#N/A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SBY/WglNr5mOc/gWQwuFIJbzj21q7lDsvIh+WXhpfnI="/>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<sst xmlns="http://schemas.openxmlformats.org/spreadsheetml/2006/main" count="2884" uniqueCount="59">
  <si>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</si>
  <si>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</si>
  <si>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</si>
  <si>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</si>
  <si>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</si>
  <si>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</si>
  <si>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</si>
  <si>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</si>
  <si>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</si>
  <si>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</si>
  <si>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</si>
  <si>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</si>
  <si>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</si>
  <si>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</si>
  <si>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</si>
  <si>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</si>
  <si>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</si>
  <si>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</si>
  <si>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</si>
  <si>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</si>
  <si>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</si>
  <si>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</si>
  <si>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</si>
  <si>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</si>
  <si>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</si>
  <si>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</si>
  <si>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</si>
  <si>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</si>
  <si>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</si>
  <si>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</si>
  <si>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</si>
  <si>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</si>
  <si>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</si>
  <si>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</si>
  <si>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</si>
  <si>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</si>
  <si>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</si>
  <si>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</si>
  <si>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Column Labels</t>
  </si>
  <si>
    <t>Sum of  Sales</t>
  </si>
  <si>
    <t>Total Sum of  Sales</t>
  </si>
  <si>
    <t>(All)</t>
  </si>
  <si>
    <t>Sum of Profit</t>
  </si>
  <si>
    <t>Total Sum of Profit</t>
  </si>
  <si>
    <t>2013</t>
  </si>
  <si>
    <t>2014</t>
  </si>
  <si>
    <t>Jan</t>
  </si>
  <si>
    <t>Feb</t>
  </si>
  <si>
    <t>Mar</t>
  </si>
  <si>
    <t>Apr</t>
  </si>
  <si>
    <t>May</t>
  </si>
  <si>
    <t>Jun</t>
  </si>
  <si>
    <t>Jul</t>
  </si>
  <si>
    <t>Aug</t>
  </si>
  <si>
    <t>Sep</t>
  </si>
  <si>
    <t>Oct</t>
  </si>
  <si>
    <t>Nov</t>
  </si>
  <si>
    <t>Dec</t>
  </si>
  <si>
    <t>Financial Performance Analysis &amp;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</si>
</sst>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4" x14ac:knownFonts="1">
    <font>
      <sz val="11"/>
      <color theme="1"/>
      <name val="Calibri"/>
      <scheme val="minor"/>
    </font>
    <font>
      <sz val="11"/>
      <color theme="1"/>
      <name val="Calibri"/>
    </font>
    <font>
      <sz val="11"/>
      <color theme="1"/>
      <name val="Calibri"/>
    </font>
    <font>
      <b/>
      <sz val="2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center"/>
    </xf>
    <xf numFmtId="164" fontId="2" fillId="2" borderId="0" xfId="0" applyNumberFormat="1" applyFont="1" applyFill="1" applyAlignment="1">
      <alignment horizontal="center"/>
    </xf>
    <xf numFmtId="14" fontId="2" fillId="2" borderId="0" xfId="0" applyNumberFormat="1" applyFont="1" applyFill="1" applyAlignment="1">
      <alignment horizontal="center"/>
    </xf>
    <xf numFmtId="1" fontId="2" fillId="2" borderId="0" xfId="0" applyNumberFormat="1" applyFont="1" applyFill="1" applyAlignment="1">
      <alignment horizontal="center"/>
    </xf>
    <xf numFmtId="49" fontId="2" fillId="2" borderId="0" xfId="0" applyNumberFormat="1" applyFont="1" applyFill="1" applyAlignment="1">
      <alignment horizontal="center"/>
    </xf>
    <xf numFmtId="0" fontId="0" fillId="0" borderId="0" xfId="0" applyAlignment="1">
      <alignment horizontal="center"/>
    </xf>
    <xf numFmtId="0" fontId="1" fillId="3" borderId="0" xfId="0" applyFont="1" applyFill="1" applyAlignment="1">
      <alignment horizontal="center"/>
    </xf>
    <xf numFmtId="164" fontId="2" fillId="3" borderId="0" xfId="0" applyNumberFormat="1" applyFont="1" applyFill="1" applyAlignment="1">
      <alignment horizontal="center"/>
    </xf>
    <xf numFmtId="14" fontId="2" fillId="3" borderId="0" xfId="0" applyNumberFormat="1" applyFont="1" applyFill="1" applyAlignment="1">
      <alignment horizontal="center"/>
    </xf>
    <xf numFmtId="1" fontId="2" fillId="3" borderId="0" xfId="0" applyNumberFormat="1" applyFont="1" applyFill="1" applyAlignment="1">
      <alignment horizontal="center"/>
    </xf>
    <xf numFmtId="0" fontId="1" fillId="4" borderId="0" xfId="0" applyFont="1" applyFill="1" applyAlignment="1">
      <alignment horizontal="center"/>
    </xf>
    <xf numFmtId="164" fontId="2" fillId="4" borderId="0" xfId="0" applyNumberFormat="1" applyFont="1" applyFill="1" applyAlignment="1">
      <alignment horizontal="center"/>
    </xf>
    <xf numFmtId="14" fontId="2" fillId="4" borderId="0" xfId="0" applyNumberFormat="1" applyFont="1" applyFill="1" applyAlignment="1">
      <alignment horizontal="center"/>
    </xf>
    <xf numFmtId="165" fontId="2" fillId="0" borderId="0" xfId="0" applyNumberFormat="1" applyFont="1" applyAlignment="1">
      <alignment horizontal="center"/>
    </xf>
    <xf numFmtId="164" fontId="2" fillId="0" borderId="0" xfId="0" applyNumberFormat="1" applyFont="1" applyAlignment="1">
      <alignment horizontal="center"/>
    </xf>
    <xf numFmtId="14" fontId="2" fillId="0" borderId="0" xfId="0" applyNumberFormat="1" applyFont="1" applyAlignment="1">
      <alignment horizontal="center"/>
    </xf>
    <xf numFmtId="1" fontId="2" fillId="0" borderId="0" xfId="0" applyNumberFormat="1" applyFont="1" applyAlignment="1">
      <alignment horizontal="center"/>
    </xf>
    <xf numFmtId="49" fontId="2"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22" fontId="0" fillId="0" borderId="0" xfId="0" applyNumberFormat="1" applyAlignment="1">
      <alignment horizontal="center"/>
    </xf>
    <xf numFmtId="0" fontId="0" fillId="0" borderId="0" xfId="0" applyAlignment="1">
      <alignment wrapText="1"/>
    </xf>
    <xf numFmtId="0" fontId="3" fillId="0" borderId="0" xfId="0" applyFont="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and Profit by Product Category</a:t>
            </a:r>
          </a:p>
        </c:rich>
      </c:tx>
      <c:layout>
        <c:manualLayout>
          <c:xMode val="edge"/>
          <c:yMode val="edge"/>
          <c:x val="0.132053162472338"/>
          <c:y val="0.1008310288291711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'!$B$1:$B$3</c:f>
              <c:strCache>
                <c:ptCount val="1"/>
                <c:pt idx="0">
                  <c:v>2013 - 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'!$A$4:$A$10</c:f>
              <c:strCache>
                <c:ptCount val="6"/>
                <c:pt idx="0">
                  <c:v>Amarilla</c:v>
                </c:pt>
                <c:pt idx="1">
                  <c:v>Carretera</c:v>
                </c:pt>
                <c:pt idx="2">
                  <c:v>Montana</c:v>
                </c:pt>
                <c:pt idx="3">
                  <c:v>Paseo</c:v>
                </c:pt>
                <c:pt idx="4">
                  <c:v>Velo</c:v>
                </c:pt>
                <c:pt idx="5">
                  <c:v>VTT</c:v>
                </c:pt>
              </c:strCache>
            </c:strRef>
          </c:cat>
          <c:val>
            <c:numRef>
              <c:f>'Pivot Table '!$B$4:$B$10</c:f>
              <c:numCache>
                <c:formatCode>_("$"* #,##0.00_);_("$"* \(#,##0.00\);_("$"* "-"??_);_(@_)</c:formatCode>
                <c:ptCount val="6"/>
                <c:pt idx="0">
                  <c:v>12278012.529999999</c:v>
                </c:pt>
                <c:pt idx="1">
                  <c:v>1501077.8599999999</c:v>
                </c:pt>
                <c:pt idx="2">
                  <c:v>4157183.0400000005</c:v>
                </c:pt>
                <c:pt idx="3">
                  <c:v>6737217.0899999999</c:v>
                </c:pt>
                <c:pt idx="4">
                  <c:v>10933819.76</c:v>
                </c:pt>
                <c:pt idx="5">
                  <c:v>15797427.23</c:v>
                </c:pt>
              </c:numCache>
            </c:numRef>
          </c:val>
          <c:extLst>
            <c:ext xmlns:c16="http://schemas.microsoft.com/office/drawing/2014/chart" uri="{C3380CC4-5D6E-409C-BE32-E72D297353CC}">
              <c16:uniqueId val="{00000000-7273-433C-B5C2-674505F1FC8F}"/>
            </c:ext>
          </c:extLst>
        </c:ser>
        <c:ser>
          <c:idx val="1"/>
          <c:order val="1"/>
          <c:tx>
            <c:strRef>
              <c:f>'Pivot Table '!$C$1:$C$3</c:f>
              <c:strCache>
                <c:ptCount val="1"/>
                <c:pt idx="0">
                  <c:v>2013 - 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 '!$A$4:$A$10</c:f>
              <c:strCache>
                <c:ptCount val="6"/>
                <c:pt idx="0">
                  <c:v>Amarilla</c:v>
                </c:pt>
                <c:pt idx="1">
                  <c:v>Carretera</c:v>
                </c:pt>
                <c:pt idx="2">
                  <c:v>Montana</c:v>
                </c:pt>
                <c:pt idx="3">
                  <c:v>Paseo</c:v>
                </c:pt>
                <c:pt idx="4">
                  <c:v>Velo</c:v>
                </c:pt>
                <c:pt idx="5">
                  <c:v>VTT</c:v>
                </c:pt>
              </c:strCache>
            </c:strRef>
          </c:cat>
          <c:val>
            <c:numRef>
              <c:f>'Pivot Table '!$C$4:$C$10</c:f>
              <c:numCache>
                <c:formatCode>_("$"* #,##0.00_);_("$"* \(#,##0.00\);_("$"* "-"??_);_(@_)</c:formatCode>
                <c:ptCount val="6"/>
                <c:pt idx="0">
                  <c:v>9540829.5299999975</c:v>
                </c:pt>
                <c:pt idx="1">
                  <c:v>132980.85999999999</c:v>
                </c:pt>
                <c:pt idx="2">
                  <c:v>639158.04</c:v>
                </c:pt>
                <c:pt idx="3">
                  <c:v>1922323.0899999999</c:v>
                </c:pt>
                <c:pt idx="4">
                  <c:v>5358469.76</c:v>
                </c:pt>
                <c:pt idx="5">
                  <c:v>11274185.230000002</c:v>
                </c:pt>
              </c:numCache>
            </c:numRef>
          </c:val>
          <c:extLst>
            <c:ext xmlns:c16="http://schemas.microsoft.com/office/drawing/2014/chart" uri="{C3380CC4-5D6E-409C-BE32-E72D297353CC}">
              <c16:uniqueId val="{00000001-7273-433C-B5C2-674505F1FC8F}"/>
            </c:ext>
          </c:extLst>
        </c:ser>
        <c:ser>
          <c:idx val="2"/>
          <c:order val="2"/>
          <c:tx>
            <c:strRef>
              <c:f>'Pivot Table '!$D$1:$D$3</c:f>
              <c:strCache>
                <c:ptCount val="1"/>
                <c:pt idx="0">
                  <c:v>2014 - Sum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 '!$A$4:$A$10</c:f>
              <c:strCache>
                <c:ptCount val="6"/>
                <c:pt idx="0">
                  <c:v>Amarilla</c:v>
                </c:pt>
                <c:pt idx="1">
                  <c:v>Carretera</c:v>
                </c:pt>
                <c:pt idx="2">
                  <c:v>Montana</c:v>
                </c:pt>
                <c:pt idx="3">
                  <c:v>Paseo</c:v>
                </c:pt>
                <c:pt idx="4">
                  <c:v>Velo</c:v>
                </c:pt>
                <c:pt idx="5">
                  <c:v>VTT</c:v>
                </c:pt>
              </c:strCache>
            </c:strRef>
          </c:cat>
          <c:val>
            <c:numRef>
              <c:f>'Pivot Table '!$D$4:$D$10</c:f>
              <c:numCache>
                <c:formatCode>_("$"* #,##0.00_);_("$"* \(#,##0.00\);_("$"* "-"??_);_(@_)</c:formatCode>
                <c:ptCount val="6"/>
                <c:pt idx="0">
                  <c:v>45851003.529999986</c:v>
                </c:pt>
                <c:pt idx="1">
                  <c:v>12754768.025</c:v>
                </c:pt>
                <c:pt idx="2">
                  <c:v>12004608.839999996</c:v>
                </c:pt>
                <c:pt idx="3">
                  <c:v>29656321.860000014</c:v>
                </c:pt>
                <c:pt idx="4">
                  <c:v>26807179.705000002</c:v>
                </c:pt>
                <c:pt idx="5">
                  <c:v>46910243.790000007</c:v>
                </c:pt>
              </c:numCache>
            </c:numRef>
          </c:val>
          <c:extLst>
            <c:ext xmlns:c16="http://schemas.microsoft.com/office/drawing/2014/chart" uri="{C3380CC4-5D6E-409C-BE32-E72D297353CC}">
              <c16:uniqueId val="{00000003-E6D0-4B8E-AC3A-83EF59B16AE4}"/>
            </c:ext>
          </c:extLst>
        </c:ser>
        <c:ser>
          <c:idx val="3"/>
          <c:order val="3"/>
          <c:tx>
            <c:strRef>
              <c:f>'Pivot Table '!$E$1:$E$3</c:f>
              <c:strCache>
                <c:ptCount val="1"/>
                <c:pt idx="0">
                  <c:v>2014 - 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 '!$A$4:$A$10</c:f>
              <c:strCache>
                <c:ptCount val="6"/>
                <c:pt idx="0">
                  <c:v>Amarilla</c:v>
                </c:pt>
                <c:pt idx="1">
                  <c:v>Carretera</c:v>
                </c:pt>
                <c:pt idx="2">
                  <c:v>Montana</c:v>
                </c:pt>
                <c:pt idx="3">
                  <c:v>Paseo</c:v>
                </c:pt>
                <c:pt idx="4">
                  <c:v>Velo</c:v>
                </c:pt>
                <c:pt idx="5">
                  <c:v>VTT</c:v>
                </c:pt>
              </c:strCache>
            </c:strRef>
          </c:cat>
          <c:val>
            <c:numRef>
              <c:f>'Pivot Table '!$E$4:$E$10</c:f>
              <c:numCache>
                <c:formatCode>_("$"* #,##0.00_);_("$"* \(#,##0.00\);_("$"* "-"??_);_(@_)</c:formatCode>
                <c:ptCount val="6"/>
                <c:pt idx="0">
                  <c:v>33655174.530000001</c:v>
                </c:pt>
                <c:pt idx="1">
                  <c:v>2134362.0250000004</c:v>
                </c:pt>
                <c:pt idx="2">
                  <c:v>2246586.8400000003</c:v>
                </c:pt>
                <c:pt idx="3">
                  <c:v>6257509.8599999975</c:v>
                </c:pt>
                <c:pt idx="4">
                  <c:v>16438462.705000002</c:v>
                </c:pt>
                <c:pt idx="5">
                  <c:v>33956172.790000007</c:v>
                </c:pt>
              </c:numCache>
            </c:numRef>
          </c:val>
          <c:extLst>
            <c:ext xmlns:c16="http://schemas.microsoft.com/office/drawing/2014/chart" uri="{C3380CC4-5D6E-409C-BE32-E72D297353CC}">
              <c16:uniqueId val="{00000004-E6D0-4B8E-AC3A-83EF59B16AE4}"/>
            </c:ext>
          </c:extLst>
        </c:ser>
        <c:dLbls>
          <c:showLegendKey val="0"/>
          <c:showVal val="0"/>
          <c:showCatName val="0"/>
          <c:showSerName val="0"/>
          <c:showPercent val="0"/>
          <c:showBubbleSize val="0"/>
        </c:dLbls>
        <c:gapWidth val="100"/>
        <c:overlap val="-24"/>
        <c:axId val="1505771887"/>
        <c:axId val="1505769487"/>
      </c:barChart>
      <c:catAx>
        <c:axId val="15057718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769487"/>
        <c:crosses val="autoZero"/>
        <c:auto val="1"/>
        <c:lblAlgn val="ctr"/>
        <c:lblOffset val="100"/>
        <c:noMultiLvlLbl val="0"/>
      </c:catAx>
      <c:valAx>
        <c:axId val="150576948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77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and Profit Performance by Market Segment</a:t>
            </a:r>
          </a:p>
        </c:rich>
      </c:tx>
      <c:layout>
        <c:manualLayout>
          <c:xMode val="edge"/>
          <c:yMode val="edge"/>
          <c:x val="0.16003069060811842"/>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'!$B$13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'!$A$14:$A$19</c:f>
              <c:strCache>
                <c:ptCount val="5"/>
                <c:pt idx="0">
                  <c:v>Channel Partners</c:v>
                </c:pt>
                <c:pt idx="1">
                  <c:v>Enterprise</c:v>
                </c:pt>
                <c:pt idx="2">
                  <c:v>Government</c:v>
                </c:pt>
                <c:pt idx="3">
                  <c:v>Midmarket</c:v>
                </c:pt>
                <c:pt idx="4">
                  <c:v>Small Business</c:v>
                </c:pt>
              </c:strCache>
            </c:strRef>
          </c:cat>
          <c:val>
            <c:numRef>
              <c:f>'Pivot Table '!$B$14:$B$19</c:f>
              <c:numCache>
                <c:formatCode>_("$"* #,##0.00_);_("$"* \(#,##0.00\);_("$"* "-"??_);_(@_)</c:formatCode>
                <c:ptCount val="5"/>
                <c:pt idx="0">
                  <c:v>18690911.640000008</c:v>
                </c:pt>
                <c:pt idx="1">
                  <c:v>34852382.375</c:v>
                </c:pt>
                <c:pt idx="2">
                  <c:v>96836080.169999957</c:v>
                </c:pt>
                <c:pt idx="3">
                  <c:v>16426858.074999996</c:v>
                </c:pt>
                <c:pt idx="4">
                  <c:v>58582631</c:v>
                </c:pt>
              </c:numCache>
            </c:numRef>
          </c:val>
          <c:extLst>
            <c:ext xmlns:c16="http://schemas.microsoft.com/office/drawing/2014/chart" uri="{C3380CC4-5D6E-409C-BE32-E72D297353CC}">
              <c16:uniqueId val="{00000000-E5BA-43DC-B618-D180DD0AE945}"/>
            </c:ext>
          </c:extLst>
        </c:ser>
        <c:ser>
          <c:idx val="1"/>
          <c:order val="1"/>
          <c:tx>
            <c:strRef>
              <c:f>'Pivot Table '!$C$13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 '!$A$14:$A$19</c:f>
              <c:strCache>
                <c:ptCount val="5"/>
                <c:pt idx="0">
                  <c:v>Channel Partners</c:v>
                </c:pt>
                <c:pt idx="1">
                  <c:v>Enterprise</c:v>
                </c:pt>
                <c:pt idx="2">
                  <c:v>Government</c:v>
                </c:pt>
                <c:pt idx="3">
                  <c:v>Midmarket</c:v>
                </c:pt>
                <c:pt idx="4">
                  <c:v>Small Business</c:v>
                </c:pt>
              </c:strCache>
            </c:strRef>
          </c:cat>
          <c:val>
            <c:numRef>
              <c:f>'Pivot Table '!$C$14:$C$19</c:f>
              <c:numCache>
                <c:formatCode>_("$"* #,##0.00_);_("$"* \(#,##0.00\);_("$"* "-"??_);_(@_)</c:formatCode>
                <c:ptCount val="5"/>
                <c:pt idx="0">
                  <c:v>18207121.140000008</c:v>
                </c:pt>
                <c:pt idx="1">
                  <c:v>14626142.375</c:v>
                </c:pt>
                <c:pt idx="2">
                  <c:v>55719992.670000046</c:v>
                </c:pt>
                <c:pt idx="3">
                  <c:v>14705078.074999996</c:v>
                </c:pt>
                <c:pt idx="4">
                  <c:v>20297881</c:v>
                </c:pt>
              </c:numCache>
            </c:numRef>
          </c:val>
          <c:extLst>
            <c:ext xmlns:c16="http://schemas.microsoft.com/office/drawing/2014/chart" uri="{C3380CC4-5D6E-409C-BE32-E72D297353CC}">
              <c16:uniqueId val="{00000001-E5BA-43DC-B618-D180DD0AE945}"/>
            </c:ext>
          </c:extLst>
        </c:ser>
        <c:dLbls>
          <c:showLegendKey val="0"/>
          <c:showVal val="0"/>
          <c:showCatName val="0"/>
          <c:showSerName val="0"/>
          <c:showPercent val="0"/>
          <c:showBubbleSize val="0"/>
        </c:dLbls>
        <c:gapWidth val="100"/>
        <c:axId val="1505516399"/>
        <c:axId val="1505516879"/>
      </c:barChart>
      <c:catAx>
        <c:axId val="15055163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516879"/>
        <c:crosses val="autoZero"/>
        <c:auto val="1"/>
        <c:lblAlgn val="ctr"/>
        <c:lblOffset val="100"/>
        <c:noMultiLvlLbl val="0"/>
      </c:catAx>
      <c:valAx>
        <c:axId val="1505516879"/>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51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Country-wise Sales and Profit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'!$B$26</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'!$A$27:$A$32</c:f>
              <c:strCache>
                <c:ptCount val="5"/>
                <c:pt idx="0">
                  <c:v>Canada</c:v>
                </c:pt>
                <c:pt idx="1">
                  <c:v>France</c:v>
                </c:pt>
                <c:pt idx="2">
                  <c:v>Germany</c:v>
                </c:pt>
                <c:pt idx="3">
                  <c:v>Mexico</c:v>
                </c:pt>
                <c:pt idx="4">
                  <c:v>United States of America</c:v>
                </c:pt>
              </c:strCache>
            </c:strRef>
          </c:cat>
          <c:val>
            <c:numRef>
              <c:f>'Pivot Table '!$B$27:$B$32</c:f>
              <c:numCache>
                <c:formatCode>_("$"* #,##0.00_);_("$"* \(#,##0.00\);_("$"* "-"??_);_(@_)</c:formatCode>
                <c:ptCount val="5"/>
                <c:pt idx="0">
                  <c:v>47739549.385000005</c:v>
                </c:pt>
                <c:pt idx="1">
                  <c:v>46882355.279999994</c:v>
                </c:pt>
                <c:pt idx="2">
                  <c:v>43745932.820000023</c:v>
                </c:pt>
                <c:pt idx="3">
                  <c:v>38922624.109999999</c:v>
                </c:pt>
                <c:pt idx="4">
                  <c:v>48098401.664999999</c:v>
                </c:pt>
              </c:numCache>
            </c:numRef>
          </c:val>
          <c:extLst>
            <c:ext xmlns:c16="http://schemas.microsoft.com/office/drawing/2014/chart" uri="{C3380CC4-5D6E-409C-BE32-E72D297353CC}">
              <c16:uniqueId val="{00000000-A60F-425B-8B22-88D048182AFA}"/>
            </c:ext>
          </c:extLst>
        </c:ser>
        <c:ser>
          <c:idx val="1"/>
          <c:order val="1"/>
          <c:tx>
            <c:strRef>
              <c:f>'Pivot Table '!$C$26</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 '!$A$27:$A$32</c:f>
              <c:strCache>
                <c:ptCount val="5"/>
                <c:pt idx="0">
                  <c:v>Canada</c:v>
                </c:pt>
                <c:pt idx="1">
                  <c:v>France</c:v>
                </c:pt>
                <c:pt idx="2">
                  <c:v>Germany</c:v>
                </c:pt>
                <c:pt idx="3">
                  <c:v>Mexico</c:v>
                </c:pt>
                <c:pt idx="4">
                  <c:v>United States of America</c:v>
                </c:pt>
              </c:strCache>
            </c:strRef>
          </c:cat>
          <c:val>
            <c:numRef>
              <c:f>'Pivot Table '!$C$27:$C$32</c:f>
              <c:numCache>
                <c:formatCode>_("$"* #,##0.00_);_("$"* \(#,##0.00\);_("$"* "-"??_);_(@_)</c:formatCode>
                <c:ptCount val="5"/>
                <c:pt idx="0">
                  <c:v>26381123.385000005</c:v>
                </c:pt>
                <c:pt idx="1">
                  <c:v>26309203.780000009</c:v>
                </c:pt>
                <c:pt idx="2">
                  <c:v>23920980.820000019</c:v>
                </c:pt>
                <c:pt idx="3">
                  <c:v>20880795.109999999</c:v>
                </c:pt>
                <c:pt idx="4">
                  <c:v>26064112.165000014</c:v>
                </c:pt>
              </c:numCache>
            </c:numRef>
          </c:val>
          <c:extLst>
            <c:ext xmlns:c16="http://schemas.microsoft.com/office/drawing/2014/chart" uri="{C3380CC4-5D6E-409C-BE32-E72D297353CC}">
              <c16:uniqueId val="{00000001-A60F-425B-8B22-88D048182AFA}"/>
            </c:ext>
          </c:extLst>
        </c:ser>
        <c:dLbls>
          <c:showLegendKey val="0"/>
          <c:showVal val="0"/>
          <c:showCatName val="0"/>
          <c:showSerName val="0"/>
          <c:showPercent val="0"/>
          <c:showBubbleSize val="0"/>
        </c:dLbls>
        <c:gapWidth val="100"/>
        <c:overlap val="-24"/>
        <c:axId val="1286591055"/>
        <c:axId val="1286607855"/>
      </c:barChart>
      <c:catAx>
        <c:axId val="1286591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6607855"/>
        <c:crosses val="autoZero"/>
        <c:auto val="1"/>
        <c:lblAlgn val="ctr"/>
        <c:lblOffset val="100"/>
        <c:noMultiLvlLbl val="0"/>
      </c:catAx>
      <c:valAx>
        <c:axId val="1286607855"/>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65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'!$B$43</c:f>
              <c:strCache>
                <c:ptCount val="1"/>
                <c:pt idx="0">
                  <c:v>Sum of 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'!$A$44:$A$46</c:f>
              <c:strCache>
                <c:ptCount val="2"/>
                <c:pt idx="0">
                  <c:v>2013</c:v>
                </c:pt>
                <c:pt idx="1">
                  <c:v>2014</c:v>
                </c:pt>
              </c:strCache>
            </c:strRef>
          </c:cat>
          <c:val>
            <c:numRef>
              <c:f>'Pivot Table '!$B$44:$B$46</c:f>
              <c:numCache>
                <c:formatCode>_("$"* #,##0.00_);_("$"* \(#,##0.00\);_("$"* "-"??_);_(@_)</c:formatCode>
                <c:ptCount val="2"/>
                <c:pt idx="0">
                  <c:v>28867946.510000009</c:v>
                </c:pt>
                <c:pt idx="1">
                  <c:v>94688268.749999985</c:v>
                </c:pt>
              </c:numCache>
            </c:numRef>
          </c:val>
          <c:smooth val="0"/>
          <c:extLst>
            <c:ext xmlns:c16="http://schemas.microsoft.com/office/drawing/2014/chart" uri="{C3380CC4-5D6E-409C-BE32-E72D297353CC}">
              <c16:uniqueId val="{00000000-82FF-4C5E-AC19-3AE327614D7D}"/>
            </c:ext>
          </c:extLst>
        </c:ser>
        <c:ser>
          <c:idx val="1"/>
          <c:order val="1"/>
          <c:tx>
            <c:strRef>
              <c:f>'Pivot Table '!$C$43</c:f>
              <c:strCache>
                <c:ptCount val="1"/>
                <c:pt idx="0">
                  <c:v>Sum of  Sales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'!$A$44:$A$46</c:f>
              <c:strCache>
                <c:ptCount val="2"/>
                <c:pt idx="0">
                  <c:v>2013</c:v>
                </c:pt>
                <c:pt idx="1">
                  <c:v>2014</c:v>
                </c:pt>
              </c:strCache>
            </c:strRef>
          </c:cat>
          <c:val>
            <c:numRef>
              <c:f>'Pivot Table '!$C$44:$C$46</c:f>
              <c:numCache>
                <c:formatCode>_("$"* #,##0.00_);_("$"* \(#,##0.00\);_("$"* "-"??_);_(@_)</c:formatCode>
                <c:ptCount val="2"/>
                <c:pt idx="0">
                  <c:v>51404737.50999999</c:v>
                </c:pt>
                <c:pt idx="1">
                  <c:v>173984125.74999979</c:v>
                </c:pt>
              </c:numCache>
            </c:numRef>
          </c:val>
          <c:smooth val="0"/>
          <c:extLst>
            <c:ext xmlns:c16="http://schemas.microsoft.com/office/drawing/2014/chart" uri="{C3380CC4-5D6E-409C-BE32-E72D297353CC}">
              <c16:uniqueId val="{00000001-82FF-4C5E-AC19-3AE327614D7D}"/>
            </c:ext>
          </c:extLst>
        </c:ser>
        <c:dLbls>
          <c:dLblPos val="ctr"/>
          <c:showLegendKey val="0"/>
          <c:showVal val="1"/>
          <c:showCatName val="0"/>
          <c:showSerName val="0"/>
          <c:showPercent val="0"/>
          <c:showBubbleSize val="0"/>
        </c:dLbls>
        <c:marker val="1"/>
        <c:smooth val="0"/>
        <c:axId val="1470551775"/>
        <c:axId val="1470550335"/>
      </c:lineChart>
      <c:catAx>
        <c:axId val="147055177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0550335"/>
        <c:crosses val="autoZero"/>
        <c:auto val="1"/>
        <c:lblAlgn val="ctr"/>
        <c:lblOffset val="100"/>
        <c:noMultiLvlLbl val="0"/>
      </c:catAx>
      <c:valAx>
        <c:axId val="1470550335"/>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055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Year-over-Year Sales and Profit Comparison</a:t>
            </a:r>
            <a:endParaRPr lang="en-US"/>
          </a:p>
        </c:rich>
      </c:tx>
      <c:layout>
        <c:manualLayout>
          <c:xMode val="edge"/>
          <c:yMode val="edge"/>
          <c:x val="0.16597222222222222"/>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'!$A$37:$A$39</c:f>
              <c:strCache>
                <c:ptCount val="2"/>
                <c:pt idx="0">
                  <c:v>2013</c:v>
                </c:pt>
                <c:pt idx="1">
                  <c:v>2014</c:v>
                </c:pt>
              </c:strCache>
            </c:strRef>
          </c:cat>
          <c:val>
            <c:numRef>
              <c:f>'Pivot Table '!$B$37:$B$39</c:f>
              <c:numCache>
                <c:formatCode>_("$"* #,##0.00_);_("$"* \(#,##0.00\);_("$"* "-"??_);_(@_)</c:formatCode>
                <c:ptCount val="2"/>
                <c:pt idx="0">
                  <c:v>51404737.50999999</c:v>
                </c:pt>
                <c:pt idx="1">
                  <c:v>173984125.74999979</c:v>
                </c:pt>
              </c:numCache>
            </c:numRef>
          </c:val>
          <c:extLst>
            <c:ext xmlns:c16="http://schemas.microsoft.com/office/drawing/2014/chart" uri="{C3380CC4-5D6E-409C-BE32-E72D297353CC}">
              <c16:uniqueId val="{00000000-3298-404B-8B48-9B20F6EFED39}"/>
            </c:ext>
          </c:extLst>
        </c:ser>
        <c:dLbls>
          <c:showLegendKey val="0"/>
          <c:showVal val="0"/>
          <c:showCatName val="0"/>
          <c:showSerName val="0"/>
          <c:showPercent val="0"/>
          <c:showBubbleSize val="0"/>
        </c:dLbls>
        <c:gapWidth val="100"/>
        <c:overlap val="-24"/>
        <c:axId val="1475906559"/>
        <c:axId val="1475909919"/>
      </c:barChart>
      <c:catAx>
        <c:axId val="14759065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5909919"/>
        <c:crosses val="autoZero"/>
        <c:auto val="1"/>
        <c:lblAlgn val="ctr"/>
        <c:lblOffset val="100"/>
        <c:noMultiLvlLbl val="0"/>
      </c:catAx>
      <c:valAx>
        <c:axId val="1475909919"/>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59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Impact of Discounts on Sales and Profitability</a:t>
            </a:r>
          </a:p>
        </c:rich>
      </c:tx>
      <c:layout>
        <c:manualLayout>
          <c:xMode val="edge"/>
          <c:yMode val="edge"/>
          <c:x val="0.15030555555555555"/>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'!$B$50</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'!$A$51:$A$55</c:f>
              <c:strCache>
                <c:ptCount val="4"/>
                <c:pt idx="0">
                  <c:v>High</c:v>
                </c:pt>
                <c:pt idx="1">
                  <c:v>Low</c:v>
                </c:pt>
                <c:pt idx="2">
                  <c:v>Medium</c:v>
                </c:pt>
                <c:pt idx="3">
                  <c:v>None</c:v>
                </c:pt>
              </c:strCache>
            </c:strRef>
          </c:cat>
          <c:val>
            <c:numRef>
              <c:f>'Pivot Table '!$B$51:$B$55</c:f>
              <c:numCache>
                <c:formatCode>_("$"* #,##0.00_);_("$"* \(#,##0.00\);_("$"* "-"??_);_(@_)</c:formatCode>
                <c:ptCount val="4"/>
                <c:pt idx="0">
                  <c:v>78463697.724999994</c:v>
                </c:pt>
                <c:pt idx="1">
                  <c:v>54428765.200000003</c:v>
                </c:pt>
                <c:pt idx="2">
                  <c:v>75294568.334999949</c:v>
                </c:pt>
                <c:pt idx="3">
                  <c:v>17201832</c:v>
                </c:pt>
              </c:numCache>
            </c:numRef>
          </c:val>
          <c:extLst>
            <c:ext xmlns:c16="http://schemas.microsoft.com/office/drawing/2014/chart" uri="{C3380CC4-5D6E-409C-BE32-E72D297353CC}">
              <c16:uniqueId val="{00000000-A67B-4A4B-AA00-4AE68AE2F417}"/>
            </c:ext>
          </c:extLst>
        </c:ser>
        <c:dLbls>
          <c:showLegendKey val="0"/>
          <c:showVal val="0"/>
          <c:showCatName val="0"/>
          <c:showSerName val="0"/>
          <c:showPercent val="0"/>
          <c:showBubbleSize val="0"/>
        </c:dLbls>
        <c:gapWidth val="269"/>
        <c:axId val="1477980879"/>
        <c:axId val="1477981359"/>
      </c:barChart>
      <c:lineChart>
        <c:grouping val="standard"/>
        <c:varyColors val="0"/>
        <c:ser>
          <c:idx val="1"/>
          <c:order val="1"/>
          <c:tx>
            <c:strRef>
              <c:f>'Pivot Table '!$C$50</c:f>
              <c:strCache>
                <c:ptCount val="1"/>
                <c:pt idx="0">
                  <c:v>Sum of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'!$A$51:$A$55</c:f>
              <c:strCache>
                <c:ptCount val="4"/>
                <c:pt idx="0">
                  <c:v>High</c:v>
                </c:pt>
                <c:pt idx="1">
                  <c:v>Low</c:v>
                </c:pt>
                <c:pt idx="2">
                  <c:v>Medium</c:v>
                </c:pt>
                <c:pt idx="3">
                  <c:v>None</c:v>
                </c:pt>
              </c:strCache>
            </c:strRef>
          </c:cat>
          <c:val>
            <c:numRef>
              <c:f>'Pivot Table '!$C$51:$C$55</c:f>
              <c:numCache>
                <c:formatCode>_("$"* #,##0.00_);_("$"* \(#,##0.00\);_("$"* "-"??_);_(@_)</c:formatCode>
                <c:ptCount val="4"/>
                <c:pt idx="0">
                  <c:v>44480077.725000016</c:v>
                </c:pt>
                <c:pt idx="1">
                  <c:v>25987844.199999984</c:v>
                </c:pt>
                <c:pt idx="2">
                  <c:v>42093660.335000031</c:v>
                </c:pt>
                <c:pt idx="3">
                  <c:v>10994633</c:v>
                </c:pt>
              </c:numCache>
            </c:numRef>
          </c:val>
          <c:smooth val="0"/>
          <c:extLst>
            <c:ext xmlns:c16="http://schemas.microsoft.com/office/drawing/2014/chart" uri="{C3380CC4-5D6E-409C-BE32-E72D297353CC}">
              <c16:uniqueId val="{00000001-A67B-4A4B-AA00-4AE68AE2F417}"/>
            </c:ext>
          </c:extLst>
        </c:ser>
        <c:dLbls>
          <c:showLegendKey val="0"/>
          <c:showVal val="0"/>
          <c:showCatName val="0"/>
          <c:showSerName val="0"/>
          <c:showPercent val="0"/>
          <c:showBubbleSize val="0"/>
        </c:dLbls>
        <c:marker val="1"/>
        <c:smooth val="0"/>
        <c:axId val="1477980879"/>
        <c:axId val="1477981359"/>
      </c:lineChart>
      <c:catAx>
        <c:axId val="14779808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981359"/>
        <c:crosses val="autoZero"/>
        <c:auto val="1"/>
        <c:lblAlgn val="ctr"/>
        <c:lblOffset val="100"/>
        <c:noMultiLvlLbl val="0"/>
      </c:catAx>
      <c:valAx>
        <c:axId val="1477981359"/>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98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[Financial+Sample.xlsx]Pivot Table !PivotTable7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Seasonality Analysis: Monthly Sales Performance</a:t>
            </a:r>
            <a:endParaRPr lang="en-US"/>
          </a:p>
        </c:rich>
      </c:tx>
      <c:layout>
        <c:manualLayout>
          <c:xMode val="edge"/>
          <c:yMode val="edge"/>
          <c:x val="0.10171522309711287"/>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strRef>
              <c:f>'Pivot Table '!$A$60:$A$72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'!$B$60:$B$72</c:f>
              <c:numCache>
                <c:formatCode>_("$"* #,##0.00_);_("$"* \(#,##0.00\);_("$"* "-"??_);_(@_)</c:formatCode>
                <c:ptCount val="12"/>
                <c:pt idx="0">
                  <c:v>13195504.680000002</c:v>
                </c:pt>
                <c:pt idx="1">
                  <c:v>13446515.389999999</c:v>
                </c:pt>
                <c:pt idx="2">
                  <c:v>10514217.869999999</c:v>
                </c:pt>
                <c:pt idx="3">
                  <c:v>13807294.069999998</c:v>
                </c:pt>
                <c:pt idx="4">
                  <c:v>11424201.059999997</c:v>
                </c:pt>
                <c:pt idx="5">
                  <c:v>19971343.820000004</c:v>
                </c:pt>
                <c:pt idx="6">
                  <c:v>14352140.18</c:v>
                </c:pt>
                <c:pt idx="7">
                  <c:v>11999552.42</c:v>
                </c:pt>
                <c:pt idx="8">
                  <c:v>21095547.27</c:v>
                </c:pt>
                <c:pt idx="9">
                  <c:v>40427330.020000003</c:v>
                </c:pt>
                <c:pt idx="10">
                  <c:v>23718761.500000004</c:v>
                </c:pt>
                <c:pt idx="11">
                  <c:v>31436454.980000008</c:v>
                </c:pt>
              </c:numCache>
            </c:numRef>
          </c:val>
          <c:extLst>
            <c:ext xmlns:c16="http://schemas.microsoft.com/office/drawing/2014/chart" uri="{C3380CC4-5D6E-409C-BE32-E72D297353CC}">
              <c16:uniqueId val="{00000001-3EC2-4A14-A703-E6E41AD45C7D}"/>
            </c:ext>
          </c:extLst>
        </c:ser>
        <c:dLbls>
          <c:showLegendKey val="0"/>
          <c:showVal val="0"/>
          <c:showCatName val="0"/>
          <c:showSerName val="0"/>
          <c:showPercent val="0"/>
          <c:showBubbleSize val="0"/>
        </c:dLbls>
        <c:gapWidth val="100"/>
        <c:overlap val="-24"/>
        <c:axId val="1503150703"/>
        <c:axId val="1597611103"/>
      </c:barChart>
      <c:catAx>
        <c:axId val="1503150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7611103"/>
        <c:crosses val="autoZero"/>
        <c:auto val="1"/>
        <c:lblAlgn val="ctr"/>
        <c:lblOffset val="100"/>
        <c:noMultiLvlLbl val="0"/>
      </c:catAx>
      <c:valAx>
        <c:axId val="1597611103"/>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31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312420</xdr:colOff>
      <xdr:row>3</xdr:row>
      <xdr:rowOff>7620</xdr:rowOff>
    </xdr:from>
    <xdr:to>
      <xdr:col>16</xdr:col>
      <xdr:colOff>289560</xdr:colOff>
      <xdr:row>20</xdr:row>
      <xdr:rowOff>129540</xdr:rowOff>
    </xdr:to>
    <xdr:graphicFrame macro="">
      <xdr:nvGraphicFramePr>
        <xdr:cNvPr id="2" name="Chart 1">
          <a:extLst>
            <a:ext uri="{FF2B5EF4-FFF2-40B4-BE49-F238E27FC236}">
              <a16:creationId xmlns:a16="http://schemas.microsoft.com/office/drawing/2014/main" id="{05DD749B-5072-4277-8CBA-1669D2545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22860</xdr:rowOff>
    </xdr:from>
    <xdr:to>
      <xdr:col>8</xdr:col>
      <xdr:colOff>289560</xdr:colOff>
      <xdr:row>20</xdr:row>
      <xdr:rowOff>129540</xdr:rowOff>
    </xdr:to>
    <xdr:graphicFrame macro="">
      <xdr:nvGraphicFramePr>
        <xdr:cNvPr id="3" name="Chart 2">
          <a:extLst>
            <a:ext uri="{FF2B5EF4-FFF2-40B4-BE49-F238E27FC236}">
              <a16:creationId xmlns:a16="http://schemas.microsoft.com/office/drawing/2014/main" id="{F419476C-D3D7-4C36-A7B4-CC66E6CDA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114300</xdr:rowOff>
    </xdr:from>
    <xdr:to>
      <xdr:col>23</xdr:col>
      <xdr:colOff>30480</xdr:colOff>
      <xdr:row>84</xdr:row>
      <xdr:rowOff>137160</xdr:rowOff>
    </xdr:to>
    <xdr:graphicFrame macro="">
      <xdr:nvGraphicFramePr>
        <xdr:cNvPr id="4" name="Chart 3">
          <a:extLst>
            <a:ext uri="{FF2B5EF4-FFF2-40B4-BE49-F238E27FC236}">
              <a16:creationId xmlns:a16="http://schemas.microsoft.com/office/drawing/2014/main" id="{0C759097-594E-4AE4-ABE1-05F4FF2D7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36</xdr:row>
      <xdr:rowOff>7620</xdr:rowOff>
    </xdr:from>
    <xdr:to>
      <xdr:col>23</xdr:col>
      <xdr:colOff>7620</xdr:colOff>
      <xdr:row>53</xdr:row>
      <xdr:rowOff>91440</xdr:rowOff>
    </xdr:to>
    <xdr:graphicFrame macro="">
      <xdr:nvGraphicFramePr>
        <xdr:cNvPr id="5" name="Chart 4">
          <a:extLst>
            <a:ext uri="{FF2B5EF4-FFF2-40B4-BE49-F238E27FC236}">
              <a16:creationId xmlns:a16="http://schemas.microsoft.com/office/drawing/2014/main" id="{9F4FDF15-7E20-4E47-AA18-EF7616132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342900</xdr:colOff>
      <xdr:row>20</xdr:row>
      <xdr:rowOff>144780</xdr:rowOff>
    </xdr:from>
    <xdr:to>
      <xdr:col>16</xdr:col>
      <xdr:colOff>259080</xdr:colOff>
      <xdr:row>36</xdr:row>
      <xdr:rowOff>0</xdr:rowOff>
    </xdr:to>
    <xdr:graphicFrame macro="">
      <xdr:nvGraphicFramePr>
        <xdr:cNvPr id="6" name="Chart 5">
          <a:extLst>
            <a:ext uri="{FF2B5EF4-FFF2-40B4-BE49-F238E27FC236}">
              <a16:creationId xmlns:a16="http://schemas.microsoft.com/office/drawing/2014/main" id="{86729F85-83A9-4072-826B-8E17CE2F7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30480</xdr:rowOff>
    </xdr:from>
    <xdr:to>
      <xdr:col>9</xdr:col>
      <xdr:colOff>342900</xdr:colOff>
      <xdr:row>53</xdr:row>
      <xdr:rowOff>106680</xdr:rowOff>
    </xdr:to>
    <xdr:graphicFrame macro="">
      <xdr:nvGraphicFramePr>
        <xdr:cNvPr id="7" name="Chart 6">
          <a:extLst>
            <a:ext uri="{FF2B5EF4-FFF2-40B4-BE49-F238E27FC236}">
              <a16:creationId xmlns:a16="http://schemas.microsoft.com/office/drawing/2014/main" id="{DC86B87B-AEAD-438D-89A2-5C560310A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20</xdr:row>
      <xdr:rowOff>152400</xdr:rowOff>
    </xdr:from>
    <xdr:to>
      <xdr:col>8</xdr:col>
      <xdr:colOff>335280</xdr:colOff>
      <xdr:row>35</xdr:row>
      <xdr:rowOff>175260</xdr:rowOff>
    </xdr:to>
    <xdr:graphicFrame macro="">
      <xdr:nvGraphicFramePr>
        <xdr:cNvPr id="8" name="Chart 7">
          <a:extLst>
            <a:ext uri="{FF2B5EF4-FFF2-40B4-BE49-F238E27FC236}">
              <a16:creationId xmlns:a16="http://schemas.microsoft.com/office/drawing/2014/main" id="{C1D267C5-4A8D-48F3-A0B7-857460A5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320040</xdr:colOff>
      <xdr:row>24</xdr:row>
      <xdr:rowOff>160020</xdr:rowOff>
    </xdr:from>
    <xdr:to>
      <xdr:col>20</xdr:col>
      <xdr:colOff>30480</xdr:colOff>
      <xdr:row>36</xdr:row>
      <xdr:rowOff>0</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C640E3F9-FC4B-0054-F80A-601E774CCB2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073640" y="4549140"/>
              <a:ext cx="214884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15</xdr:row>
      <xdr:rowOff>22860</xdr:rowOff>
    </xdr:from>
    <xdr:to>
      <xdr:col>20</xdr:col>
      <xdr:colOff>45720</xdr:colOff>
      <xdr:row>24</xdr:row>
      <xdr:rowOff>152400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228DEC9-799F-A0F6-E257-30162AA920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50780" y="2766060"/>
              <a:ext cx="218694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15</xdr:row>
      <xdr:rowOff>30480</xdr:rowOff>
    </xdr:from>
    <xdr:to>
      <xdr:col>23</xdr:col>
      <xdr:colOff>160020</xdr:colOff>
      <xdr:row>36</xdr:row>
      <xdr:rowOff>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EBF58B9-B3B4-EEB8-1F24-96F05D4552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230100" y="2773680"/>
              <a:ext cx="1950720" cy="316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11</xdr:row>
      <xdr:rowOff>38101</xdr:rowOff>
    </xdr:from>
    <xdr:to>
      <xdr:col>23</xdr:col>
      <xdr:colOff>144780</xdr:colOff>
      <xdr:row>15</xdr:row>
      <xdr:rowOff>22861</xdr:rowOff>
    </xdr:to>
    <mc:AlternateContent xmlns:mc="http://schemas.openxmlformats.org/markup-compatibility/2006" xmlns:a14="http://schemas.microsoft.com/office/drawing/2010/main">
      <mc:Choice Requires="a14">
        <xdr:graphicFrame macro="">
          <xdr:nvGraphicFramePr>
            <xdr:cNvPr id="12" name="Discount Band">
              <a:extLst>
                <a:ext uri="{FF2B5EF4-FFF2-40B4-BE49-F238E27FC236}">
                  <a16:creationId xmlns:a16="http://schemas.microsoft.com/office/drawing/2014/main" id="{4A259276-4D85-5415-C0BA-E801699958E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10050780" y="2049781"/>
              <a:ext cx="41148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3</xdr:row>
      <xdr:rowOff>7620</xdr:rowOff>
    </xdr:from>
    <xdr:to>
      <xdr:col>23</xdr:col>
      <xdr:colOff>137160</xdr:colOff>
      <xdr:row>11</xdr:row>
      <xdr:rowOff>22860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0526B1D0-5B45-56E7-C4BD-8764C9135D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050780" y="556260"/>
              <a:ext cx="4107180" cy="1478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034.93953333333" createdVersion="8" refreshedVersion="8" minRefreshableVersion="3" recordCount="700" xr:uid="{97B950C3-F430-472B-BB63-278D41C2BAAC}">
  <cacheSource type="worksheet">
    <worksheetSource ref="A1:P701" sheet="Sale Data Analysis "/>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2630" maxValue="1809260"/>
    </cacheField>
    <cacheField name="Discounts" numFmtId="164">
      <sharedItems containsSemiMixedTypes="0" containsString="0" containsNumber="1" minValue="0" maxValue="149677.5"/>
    </cacheField>
    <cacheField name=" Sales" numFmtId="164">
      <sharedItems containsSemiMixedTypes="0" containsString="0" containsNumber="1" minValue="2519.54" maxValue="1788498" count="700">
        <n v="37225.5"/>
        <n v="30383"/>
        <n v="39204"/>
        <n v="15984"/>
        <n v="44460"/>
        <n v="534089"/>
        <n v="18420"/>
        <n v="42806"/>
        <n v="47475"/>
        <n v="26265"/>
        <n v="49400"/>
        <n v="346515"/>
        <n v="292190"/>
        <n v="25752"/>
        <n v="44850"/>
        <n v="12300"/>
        <n v="8760"/>
        <n v="24350"/>
        <n v="55396"/>
        <n v="362160"/>
        <n v="8074"/>
        <n v="15011"/>
        <n v="13725"/>
        <n v="244280"/>
        <n v="61800"/>
        <n v="19431"/>
        <n v="621000"/>
        <n v="20064"/>
        <n v="53800"/>
        <n v="54510"/>
        <n v="544680"/>
        <n v="189611"/>
        <n v="441980"/>
        <n v="285252"/>
        <n v="472820"/>
        <n v="203940"/>
        <n v="691145"/>
        <n v="84525"/>
        <n v="1100550"/>
        <n v="743556"/>
        <n v="577170"/>
        <n v="235320"/>
        <n v="916200"/>
        <n v="1183050"/>
        <n v="490590"/>
        <n v="1677500"/>
        <n v="531216"/>
        <n v="1624507.5"/>
        <n v="531720"/>
        <n v="450162"/>
        <n v="582352"/>
        <n v="305181"/>
        <n v="169125"/>
        <n v="66788.850000000006"/>
        <n v="57055.6"/>
        <n v="17437.900000000001"/>
        <n v="81108.27"/>
        <n v="340689.18"/>
        <n v="27647.040000000001"/>
        <n v="422895"/>
        <n v="25112.97"/>
        <n v="21501.599999999999"/>
        <n v="41827.5"/>
        <n v="39744.480000000003"/>
        <n v="11398.08"/>
        <n v="148200"/>
        <n v="488251.5"/>
        <n v="753172.5"/>
        <n v="43947.9"/>
        <n v="694902"/>
        <n v="34112.400000000001"/>
        <n v="21831.9"/>
        <n v="754396"/>
        <n v="85361.25"/>
        <n v="37622.9"/>
        <n v="76058.024999999994"/>
        <n v="97236.25"/>
        <n v="105261.25"/>
        <n v="243826.25"/>
        <n v="18562.95"/>
        <n v="16760.080000000002"/>
        <n v="891835"/>
        <n v="768257.5"/>
        <n v="540187.19999999995"/>
        <n v="45948.66"/>
        <n v="224981.25"/>
        <n v="161606.25"/>
        <n v="265537.56"/>
        <n v="67572.59"/>
        <n v="562797.75"/>
        <n v="271716.25"/>
        <n v="294141.25"/>
        <n v="539342"/>
        <n v="270218"/>
        <n v="833310.5"/>
        <n v="651820"/>
        <n v="540769.31999999995"/>
        <n v="88226.85"/>
        <n v="93183.75"/>
        <n v="19114.2"/>
        <n v="63558"/>
        <n v="21149.7"/>
        <n v="986792"/>
        <n v="19139.919999999998"/>
        <n v="38523.599999999999"/>
        <n v="11564.4"/>
        <n v="211650"/>
        <n v="58366.1"/>
        <n v="279072"/>
        <n v="525312"/>
        <n v="24849.919999999998"/>
        <n v="87715"/>
        <n v="28179.200000000001"/>
        <n v="107192.5"/>
        <n v="284212.5"/>
        <n v="38841.599999999999"/>
        <n v="582464"/>
        <n v="1006756"/>
        <n v="361592.5"/>
        <n v="47547.5"/>
        <n v="33939.18"/>
        <n v="22956.799999999999"/>
        <n v="23587.84"/>
        <n v="218613.6"/>
        <n v="1373258"/>
        <n v="1332051"/>
        <n v="196182.5"/>
        <n v="520162.5"/>
        <n v="139006.79999999999"/>
        <n v="75942.399999999994"/>
        <n v="142827.84"/>
        <n v="246595"/>
        <n v="116416"/>
        <n v="1706061"/>
        <n v="1016552.5"/>
        <n v="157738"/>
        <n v="1150420"/>
        <n v="143486"/>
        <n v="609954"/>
        <n v="870570"/>
        <n v="1788498"/>
        <n v="345585.6"/>
        <n v="263103.59999999998"/>
        <n v="1061464"/>
        <n v="527254.875"/>
        <n v="57792"/>
        <n v="202566"/>
        <n v="28504.080000000002"/>
        <n v="13293.12"/>
        <n v="23084.82"/>
        <n v="31632.639999999999"/>
        <n v="6413.76"/>
        <n v="619066.5"/>
        <n v="162483.75"/>
        <n v="215382.5"/>
        <n v="732784.5"/>
        <n v="232837.5"/>
        <n v="41137.64"/>
        <n v="207389"/>
        <n v="206062.5"/>
        <n v="29635.98"/>
        <n v="263681.25"/>
        <n v="47749.75"/>
        <n v="168918.75"/>
        <n v="223912.5"/>
        <n v="484671.25"/>
        <n v="1538604"/>
        <n v="501302.24"/>
        <n v="582862.5"/>
        <n v="1013834"/>
        <n v="967959"/>
        <n v="514549.75"/>
        <n v="18614.400000000001"/>
        <n v="29550.400000000001"/>
        <n v="536759.69999999995"/>
        <n v="648605.56000000006"/>
        <n v="39401.4"/>
        <n v="49556.4"/>
        <n v="55168.4"/>
        <n v="102451.2"/>
        <n v="27711.72"/>
        <n v="588111"/>
        <n v="92886"/>
        <n v="38159.800000000003"/>
        <n v="544687"/>
        <n v="33413.72"/>
        <n v="592153"/>
        <n v="142250"/>
        <n v="71076.72"/>
        <n v="103350"/>
        <n v="421521"/>
        <n v="869564"/>
        <n v="1193700"/>
        <n v="388440"/>
        <n v="5319.2"/>
        <n v="60560.800000000003"/>
        <n v="30835.200000000001"/>
        <n v="16372.4"/>
        <n v="36941.599999999999"/>
        <n v="94804"/>
        <n v="147940"/>
        <n v="192676.8"/>
        <n v="368323.2"/>
        <n v="992712"/>
        <n v="226476.32"/>
        <n v="204514"/>
        <n v="1275722"/>
        <n v="400301.6"/>
        <n v="1111540"/>
        <n v="408120"/>
        <n v="1136572"/>
        <n v="184122.4"/>
        <n v="1059688"/>
        <n v="13502.35"/>
        <n v="22843.8"/>
        <n v="39110.85"/>
        <n v="44771.85"/>
        <n v="52023.4"/>
        <n v="319433.40000000002"/>
        <n v="690131.85"/>
        <n v="448771.95"/>
        <n v="304782.2"/>
        <n v="309047.34999999998"/>
        <n v="26856"/>
        <n v="16070.4"/>
        <n v="34386"/>
        <n v="285408"/>
        <n v="9804.4"/>
        <n v="48144.75"/>
        <n v="5500.5"/>
        <n v="23999.55"/>
        <n v="467268.75"/>
        <n v="448841.25"/>
        <n v="243000"/>
        <n v="38408.800000000003"/>
        <n v="319000"/>
        <n v="37787"/>
        <n v="385220"/>
        <n v="307068.75"/>
        <n v="474065"/>
        <n v="38744.550000000003"/>
        <n v="292345"/>
        <n v="206185"/>
        <n v="63535"/>
        <n v="420590"/>
        <n v="40281"/>
        <n v="110853.75"/>
        <n v="90640"/>
        <n v="52258"/>
        <n v="77227"/>
        <n v="35564.400000000001"/>
        <n v="51313"/>
        <n v="74508.75"/>
        <n v="384089.25"/>
        <n v="192671.25"/>
        <n v="272405"/>
        <n v="393648"/>
        <n v="219481"/>
        <n v="205563.75"/>
        <n v="168080"/>
        <n v="143587"/>
        <n v="506250"/>
        <n v="373641"/>
        <n v="340285"/>
        <n v="617893"/>
        <n v="716347"/>
        <n v="146290.5"/>
        <n v="638288.55000000005"/>
        <n v="799875"/>
        <n v="327060"/>
        <n v="727590"/>
        <n v="681250"/>
        <n v="91604.1"/>
        <n v="24361.5"/>
        <n v="48632.4"/>
        <n v="8025.36"/>
        <n v="32829.72"/>
        <n v="34713"/>
        <n v="2519.54"/>
        <n v="106883.5"/>
        <n v="327320"/>
        <n v="487640"/>
        <n v="16246.74"/>
        <n v="44330.44"/>
        <n v="507144"/>
        <n v="48922.720000000001"/>
        <n v="246453"/>
        <n v="226100"/>
        <n v="654312.5"/>
        <n v="205173"/>
        <n v="671704"/>
        <n v="189616.84"/>
        <n v="490842"/>
        <n v="932124"/>
        <n v="751100.4"/>
        <n v="384356.84"/>
        <n v="649572"/>
        <n v="301862.40000000002"/>
        <n v="1295952"/>
        <n v="750281.25"/>
        <n v="988931"/>
        <n v="428203"/>
        <n v="374011.74"/>
        <n v="1222764"/>
        <n v="41816.6"/>
        <n v="52971.8"/>
        <n v="42006.3"/>
        <n v="27787.3"/>
        <n v="50601.599999999999"/>
        <n v="138938.79999999999"/>
        <n v="168731.14"/>
        <n v="304507.3"/>
        <n v="10294.32"/>
        <n v="26677.439999999999"/>
        <n v="39614.400000000001"/>
        <n v="37814.400000000001"/>
        <n v="37846.720000000001"/>
        <n v="17021.810000000001"/>
        <n v="169044.9"/>
        <n v="143588.85"/>
        <n v="69200.97"/>
        <n v="200138.82"/>
        <n v="454026.66"/>
        <n v="578469.4"/>
        <n v="405798.82"/>
        <n v="302488.84999999998"/>
        <n v="578488.5"/>
        <n v="126336"/>
        <n v="615042"/>
        <n v="46633.599999999999"/>
        <n v="619404"/>
        <n v="303125"/>
        <n v="491878"/>
        <n v="129472"/>
        <n v="443516.25"/>
        <n v="50318.95"/>
        <n v="70197.45"/>
        <n v="43901"/>
        <n v="324547"/>
        <n v="405756"/>
        <n v="58465.08"/>
        <n v="35083.75"/>
        <n v="661941"/>
        <n v="84407.4"/>
        <n v="493053.75"/>
        <n v="273873.59999999998"/>
        <n v="196950.6"/>
        <n v="547428"/>
        <n v="81496.800000000003"/>
        <n v="847333.62"/>
        <n v="507311"/>
        <n v="1453163"/>
        <n v="618931.25"/>
        <n v="1683898"/>
        <n v="373992.5"/>
        <n v="311474.8"/>
        <n v="739508"/>
        <n v="5582.72"/>
        <n v="29998.799999999999"/>
        <n v="4225.08"/>
        <n v="356908.79999999999"/>
        <n v="181720"/>
        <n v="8232"/>
        <n v="442650"/>
        <n v="47018.8"/>
        <n v="16567.2"/>
        <n v="15093"/>
        <n v="438922"/>
        <n v="360523"/>
        <n v="13366.8"/>
        <n v="139250"/>
        <n v="20697.96"/>
        <n v="18001.8"/>
        <n v="38794.400000000001"/>
        <n v="703560"/>
        <n v="11146.32"/>
        <n v="26271.119999999999"/>
        <n v="39603.96"/>
        <n v="54925.599999999999"/>
        <n v="85001.2"/>
        <n v="712472"/>
        <n v="31992.240000000002"/>
        <n v="452184"/>
        <n v="78361.919999999998"/>
        <n v="367561.08"/>
        <n v="295616.71999999997"/>
        <n v="152856"/>
        <n v="251460"/>
        <n v="328614"/>
        <n v="599556.72"/>
        <n v="217932"/>
        <n v="241384"/>
        <n v="1122484"/>
        <n v="425008"/>
        <n v="197107.20000000001"/>
        <n v="774541.08"/>
        <n v="380294.40000000002"/>
        <n v="1318560"/>
        <n v="423168"/>
        <n v="194671.8"/>
        <n v="372680"/>
        <n v="340360"/>
        <n v="117156.6"/>
        <n v="301944"/>
        <n v="5108.6400000000003"/>
        <n v="1057095"/>
        <n v="538951"/>
        <n v="89516"/>
        <n v="36950.32"/>
        <n v="220518.75"/>
        <n v="18317.07"/>
        <n v="332143.75"/>
        <n v="92852"/>
        <n v="725895"/>
        <n v="793984.5"/>
        <n v="86913.75"/>
        <n v="309602"/>
        <n v="29018.55"/>
        <n v="7677.64"/>
        <n v="374692"/>
        <n v="37133"/>
        <n v="346128.75"/>
        <n v="32744.25"/>
        <n v="1490845.5"/>
        <n v="573119.5"/>
        <n v="132536.25"/>
        <n v="493212.5"/>
        <n v="556456.5"/>
        <n v="510359.52"/>
        <n v="1390657"/>
        <n v="768327.75"/>
        <n v="229609.60000000001"/>
        <n v="976441"/>
        <n v="582895.28"/>
        <n v="323498.55"/>
        <n v="319008.75"/>
        <n v="1198073.5"/>
        <n v="734116.5"/>
        <n v="265440.5"/>
        <n v="471270.8"/>
        <n v="14055.6"/>
        <n v="7674.03"/>
        <n v="21993.599999999999"/>
        <n v="4881.7700000000004"/>
        <n v="27438.6"/>
        <n v="29271.599999999999"/>
        <n v="5893.2"/>
        <n v="257519.64"/>
        <n v="351232.2"/>
        <n v="92293.2"/>
        <n v="719312.4"/>
        <n v="133568.76999999999"/>
        <n v="288771.59999999998"/>
        <n v="446186.32500000001"/>
        <n v="82901.52"/>
        <n v="5326.8"/>
        <n v="26306.400000000001"/>
        <n v="8028.8"/>
        <n v="397955.25"/>
        <n v="171171"/>
        <n v="740160"/>
        <n v="211970"/>
        <n v="38332"/>
        <n v="54712"/>
        <n v="165480"/>
        <n v="50924.5"/>
        <n v="6748"/>
        <n v="90913.5"/>
        <n v="68085"/>
        <n v="105465"/>
        <n v="277965"/>
        <n v="371070"/>
        <n v="894660"/>
        <n v="33258"/>
        <n v="336589.5"/>
        <n v="445470"/>
        <n v="332670"/>
        <n v="123612.5"/>
        <n v="168903.5"/>
        <n v="1585955"/>
        <n v="224640"/>
        <n v="1192880"/>
        <n v="571004.5"/>
        <n v="916762.5"/>
        <n v="1056550"/>
        <n v="215677.5"/>
        <n v="1288000"/>
        <n v="1586290"/>
        <n v="953351.4"/>
        <n v="566842"/>
        <n v="697039.2"/>
        <n v="406525"/>
        <n v="566692"/>
        <n v="452090"/>
        <n v="16388.64"/>
        <n v="41094.36"/>
        <n v="24774.639999999999"/>
        <n v="51206.400000000001"/>
        <n v="61680.959999999999"/>
        <n v="404587.17"/>
        <n v="261983.4"/>
        <n v="874583.32499999995"/>
        <n v="127760.96000000001"/>
        <n v="26498.16"/>
        <n v="249084"/>
        <n v="758970"/>
        <n v="278884.25"/>
        <n v="25506"/>
        <n v="24976.38"/>
        <n v="242439"/>
        <n v="68217.600000000006"/>
        <n v="39580.949999999997"/>
        <n v="241821"/>
        <n v="31191.599999999999"/>
        <n v="676596.75"/>
        <n v="83257.679999999993"/>
        <n v="50159.34"/>
        <n v="66553.2"/>
        <n v="46326.400000000001"/>
        <n v="295971.25"/>
        <n v="83177.600000000006"/>
        <n v="378382"/>
        <n v="386529"/>
        <n v="87344.25"/>
        <n v="148436"/>
        <n v="228223.84"/>
        <n v="452019.12"/>
        <n v="200132.5"/>
        <n v="785993"/>
        <n v="1175006.25"/>
        <n v="730336.2"/>
        <n v="532001.25"/>
        <n v="351573.75"/>
        <n v="196596"/>
        <n v="589615.94999999995"/>
        <n v="6167.4"/>
        <n v="275546"/>
        <n v="273008"/>
        <n v="243628"/>
        <n v="43561.8"/>
        <n v="12321.4"/>
        <n v="476937"/>
        <n v="27007.200000000001"/>
        <n v="30511.439999999999"/>
        <n v="38759"/>
        <n v="319034"/>
        <n v="957630"/>
        <n v="281748"/>
        <n v="258720"/>
        <n v="24978"/>
        <n v="47334"/>
        <n v="506892"/>
        <n v="372366"/>
        <n v="589100"/>
        <n v="380646"/>
        <n v="8816"/>
        <n v="34030.800000000003"/>
        <n v="597060"/>
        <n v="422008"/>
        <n v="124528"/>
        <n v="549521.04"/>
        <n v="1019768.4"/>
        <n v="347634"/>
        <n v="550188"/>
        <n v="859320"/>
        <n v="329950.8"/>
        <n v="153360"/>
        <n v="910666.44"/>
        <n v="727681.44"/>
        <n v="696113.6"/>
        <n v="51942.9"/>
        <n v="41405.160000000003"/>
        <n v="42255.6"/>
        <n v="381934.56"/>
        <n v="409695.6"/>
        <n v="747016.16"/>
        <n v="41200.35"/>
        <n v="675249.35"/>
        <n v="283822.5"/>
        <n v="550425"/>
        <n v="9016.7999999999993"/>
        <n v="304083.75"/>
        <n v="14394.82"/>
        <n v="9325.76"/>
        <n v="50512"/>
        <n v="27977.599999999999"/>
        <n v="23145.465"/>
        <n v="218697"/>
        <n v="72363.399999999994"/>
        <n v="74199.199999999997"/>
        <n v="827764"/>
        <n v="187981.25"/>
        <n v="11671.24"/>
        <n v="43378.64"/>
        <n v="36073.25"/>
        <n v="34222.6"/>
        <n v="112276.5"/>
        <n v="20705.72"/>
        <n v="531867.375"/>
        <n v="1117284"/>
        <n v="150047.1"/>
        <n v="78785.759999999995"/>
        <n v="87813"/>
        <n v="53480.4"/>
        <n v="992505"/>
        <n v="132135.72"/>
        <n v="567901.25"/>
        <n v="411673.25"/>
        <n v="611756.25"/>
        <n v="316647.09999999998"/>
        <n v="110880.4"/>
        <n v="478678.8"/>
        <n v="52095.8"/>
        <n v="35208.6"/>
        <n v="27023.919999999998"/>
        <n v="2525.6"/>
        <n v="3228.86"/>
        <n v="33015.919999999998"/>
        <n v="6366.2"/>
        <n v="66041.600000000006"/>
        <n v="40464.300000000003"/>
        <n v="28305.760000000002"/>
        <n v="71685.600000000006"/>
        <n v="376555.76"/>
        <n v="544694.80000000005"/>
        <n v="209061"/>
        <n v="113041.5"/>
        <n v="390456"/>
        <n v="263610"/>
        <n v="24056.7"/>
        <n v="36570"/>
        <n v="311720.5"/>
        <n v="681615"/>
        <n v="366894"/>
        <n v="61200"/>
        <n v="4275.76"/>
        <n v="19031.54"/>
        <n v="41170"/>
        <n v="7072"/>
        <n v="56563"/>
        <n v="39914.699999999997"/>
        <n v="59212.479999999996"/>
        <n v="27730.62"/>
        <n v="217700"/>
        <n v="45151.040000000001"/>
        <n v="366047"/>
        <n v="597742"/>
        <n v="358312.5"/>
        <n v="83143.199999999997"/>
        <n v="929880"/>
        <n v="101682"/>
        <n v="958608"/>
        <n v="743226.06"/>
        <n v="1290828"/>
        <n v="136652"/>
        <n v="759968"/>
        <n v="513080"/>
        <n v="705831"/>
        <n v="459984"/>
        <n v="1045170"/>
        <n v="669042"/>
        <n v="475664.7"/>
        <n v="787712.48"/>
        <n v="460480.62"/>
        <n v="459416.54"/>
        <n v="510323"/>
        <n v="128259.5"/>
        <n v="302294.75"/>
        <n v="118536.25"/>
        <n v="141960"/>
        <n v="31266"/>
        <n v="36718.5"/>
        <n v="40433.25"/>
        <n v="876682.5"/>
        <n v="58217.25"/>
        <n v="7209"/>
        <n v="126131.25"/>
        <n v="26731.25"/>
        <n v="617152.5"/>
        <n v="661432.5"/>
        <n v="18462.8"/>
        <n v="7911"/>
        <n v="65100"/>
        <n v="375151.5"/>
        <n v="150003.75"/>
        <n v="965250"/>
        <n v="551597.5"/>
        <n v="119002.8"/>
        <n v="231088.5"/>
        <n v="129273"/>
        <n v="71289"/>
        <n v="308731.25"/>
        <n v="1052362.5"/>
        <n v="196650"/>
        <n v="78231"/>
        <n v="1274625"/>
        <n v="281190"/>
        <n v="14979.6"/>
        <n v="11531.85"/>
        <n v="469921.2"/>
      </sharedItems>
    </cacheField>
    <cacheField name="COGS" numFmtId="164">
      <sharedItems containsSemiMixedTypes="0" containsString="0" containsNumber="1" minValue="918" maxValue="950625"/>
    </cacheField>
    <cacheField name="Profit" numFmtId="164">
      <sharedItems containsSemiMixedTypes="0" containsString="0" containsNumber="1" minValue="-29745.25" maxValue="1118167.5"/>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164">
      <sharedItems/>
    </cacheField>
    <cacheField name="Year" numFmtId="0">
      <sharedItems containsSemiMixedTypes="0" containsString="0" containsNumber="1" containsInteger="1" minValue="2013" maxValue="2014" count="2">
        <n v="2014"/>
        <n v="2013"/>
      </sharedItems>
    </cacheField>
    <cacheField name="Months (Date)" numFmtId="0" databaseField="0">
      <fieldGroup base="12">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2">
        <rangePr groupBy="quarters" startDate="2013-09-01T00:00:00" endDate="2014-12-02T00:00:00"/>
        <groupItems count="6">
          <s v="&lt;01-09-2013"/>
          <s v="Qtr1"/>
          <s v="Qtr2"/>
          <s v="Qtr3"/>
          <s v="Qtr4"/>
          <s v="&gt;02-12-2014"/>
        </groupItems>
      </fieldGroup>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101664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7225.5"/>
    <n v="0"/>
    <x v="0"/>
    <n v="16185"/>
    <n v="21040.5"/>
    <x v="0"/>
    <n v="1"/>
    <s v="January"/>
    <x v="0"/>
  </r>
  <r>
    <x v="0"/>
    <x v="1"/>
    <x v="0"/>
    <x v="0"/>
    <n v="1321"/>
    <n v="3"/>
    <n v="20"/>
    <n v="30383"/>
    <n v="0"/>
    <x v="1"/>
    <n v="13210"/>
    <n v="17173"/>
    <x v="0"/>
    <n v="1"/>
    <s v="January"/>
    <x v="0"/>
  </r>
  <r>
    <x v="1"/>
    <x v="2"/>
    <x v="0"/>
    <x v="0"/>
    <n v="2178"/>
    <n v="3"/>
    <n v="15"/>
    <n v="39204"/>
    <n v="0"/>
    <x v="2"/>
    <n v="21780"/>
    <n v="17424"/>
    <x v="1"/>
    <n v="6"/>
    <s v="June"/>
    <x v="0"/>
  </r>
  <r>
    <x v="1"/>
    <x v="1"/>
    <x v="0"/>
    <x v="0"/>
    <n v="888"/>
    <n v="3"/>
    <n v="15"/>
    <n v="15984"/>
    <n v="0"/>
    <x v="3"/>
    <n v="8880"/>
    <n v="7104"/>
    <x v="1"/>
    <n v="6"/>
    <s v="June"/>
    <x v="0"/>
  </r>
  <r>
    <x v="1"/>
    <x v="3"/>
    <x v="0"/>
    <x v="0"/>
    <n v="2470"/>
    <n v="3"/>
    <n v="15"/>
    <n v="44460"/>
    <n v="0"/>
    <x v="4"/>
    <n v="24700"/>
    <n v="19760"/>
    <x v="1"/>
    <n v="6"/>
    <s v="June"/>
    <x v="0"/>
  </r>
  <r>
    <x v="0"/>
    <x v="1"/>
    <x v="0"/>
    <x v="0"/>
    <n v="1513"/>
    <n v="3"/>
    <n v="350"/>
    <n v="534089"/>
    <n v="0"/>
    <x v="5"/>
    <n v="393380"/>
    <n v="140709"/>
    <x v="2"/>
    <n v="12"/>
    <s v="December"/>
    <x v="0"/>
  </r>
  <r>
    <x v="1"/>
    <x v="1"/>
    <x v="1"/>
    <x v="0"/>
    <n v="921"/>
    <n v="5"/>
    <n v="15"/>
    <n v="18420"/>
    <n v="0"/>
    <x v="6"/>
    <n v="9210"/>
    <n v="9210"/>
    <x v="3"/>
    <n v="3"/>
    <s v="March"/>
    <x v="0"/>
  </r>
  <r>
    <x v="2"/>
    <x v="0"/>
    <x v="1"/>
    <x v="0"/>
    <n v="2518"/>
    <n v="5"/>
    <n v="12"/>
    <n v="42806"/>
    <n v="0"/>
    <x v="7"/>
    <n v="7554"/>
    <n v="35252"/>
    <x v="1"/>
    <n v="6"/>
    <s v="June"/>
    <x v="0"/>
  </r>
  <r>
    <x v="0"/>
    <x v="2"/>
    <x v="1"/>
    <x v="0"/>
    <n v="1899"/>
    <n v="5"/>
    <n v="20"/>
    <n v="47475"/>
    <n v="0"/>
    <x v="8"/>
    <n v="18990"/>
    <n v="28485"/>
    <x v="1"/>
    <n v="6"/>
    <s v="June"/>
    <x v="0"/>
  </r>
  <r>
    <x v="2"/>
    <x v="1"/>
    <x v="1"/>
    <x v="0"/>
    <n v="1545"/>
    <n v="5"/>
    <n v="12"/>
    <n v="26265"/>
    <n v="0"/>
    <x v="9"/>
    <n v="4635"/>
    <n v="21630"/>
    <x v="1"/>
    <n v="6"/>
    <s v="June"/>
    <x v="0"/>
  </r>
  <r>
    <x v="1"/>
    <x v="3"/>
    <x v="1"/>
    <x v="0"/>
    <n v="2470"/>
    <n v="5"/>
    <n v="15"/>
    <n v="49400"/>
    <n v="0"/>
    <x v="10"/>
    <n v="24700"/>
    <n v="24700"/>
    <x v="1"/>
    <n v="6"/>
    <s v="June"/>
    <x v="0"/>
  </r>
  <r>
    <x v="3"/>
    <x v="0"/>
    <x v="1"/>
    <x v="0"/>
    <n v="2665.5"/>
    <n v="5"/>
    <n v="125"/>
    <n v="346515"/>
    <n v="0"/>
    <x v="11"/>
    <n v="319860"/>
    <n v="26655"/>
    <x v="4"/>
    <n v="7"/>
    <s v="July"/>
    <x v="0"/>
  </r>
  <r>
    <x v="4"/>
    <x v="3"/>
    <x v="1"/>
    <x v="0"/>
    <n v="958"/>
    <n v="5"/>
    <n v="300"/>
    <n v="292190"/>
    <n v="0"/>
    <x v="12"/>
    <n v="239500"/>
    <n v="52690"/>
    <x v="5"/>
    <n v="8"/>
    <s v="August"/>
    <x v="0"/>
  </r>
  <r>
    <x v="0"/>
    <x v="1"/>
    <x v="1"/>
    <x v="0"/>
    <n v="2146"/>
    <n v="5"/>
    <n v="7"/>
    <n v="25752"/>
    <n v="0"/>
    <x v="13"/>
    <n v="10730"/>
    <n v="15022"/>
    <x v="6"/>
    <n v="9"/>
    <s v="September"/>
    <x v="0"/>
  </r>
  <r>
    <x v="3"/>
    <x v="0"/>
    <x v="1"/>
    <x v="0"/>
    <n v="345"/>
    <n v="5"/>
    <n v="125"/>
    <n v="44850"/>
    <n v="0"/>
    <x v="14"/>
    <n v="41400"/>
    <n v="3450"/>
    <x v="7"/>
    <n v="10"/>
    <s v="October"/>
    <x v="1"/>
  </r>
  <r>
    <x v="1"/>
    <x v="4"/>
    <x v="1"/>
    <x v="0"/>
    <n v="615"/>
    <n v="5"/>
    <n v="15"/>
    <n v="12300"/>
    <n v="0"/>
    <x v="15"/>
    <n v="6150"/>
    <n v="6150"/>
    <x v="2"/>
    <n v="12"/>
    <s v="December"/>
    <x v="0"/>
  </r>
  <r>
    <x v="0"/>
    <x v="0"/>
    <x v="2"/>
    <x v="0"/>
    <n v="292"/>
    <n v="10"/>
    <n v="20"/>
    <n v="8760"/>
    <n v="0"/>
    <x v="16"/>
    <n v="2920"/>
    <n v="5840"/>
    <x v="8"/>
    <n v="2"/>
    <s v="February"/>
    <x v="0"/>
  </r>
  <r>
    <x v="1"/>
    <x v="3"/>
    <x v="2"/>
    <x v="0"/>
    <n v="974"/>
    <n v="10"/>
    <n v="15"/>
    <n v="24350"/>
    <n v="0"/>
    <x v="17"/>
    <n v="9740"/>
    <n v="14610"/>
    <x v="8"/>
    <n v="2"/>
    <s v="February"/>
    <x v="0"/>
  </r>
  <r>
    <x v="2"/>
    <x v="0"/>
    <x v="2"/>
    <x v="0"/>
    <n v="2518"/>
    <n v="10"/>
    <n v="12"/>
    <n v="55396"/>
    <n v="0"/>
    <x v="18"/>
    <n v="7554"/>
    <n v="47842"/>
    <x v="1"/>
    <n v="6"/>
    <s v="June"/>
    <x v="0"/>
  </r>
  <r>
    <x v="0"/>
    <x v="1"/>
    <x v="2"/>
    <x v="0"/>
    <n v="1006"/>
    <n v="10"/>
    <n v="350"/>
    <n v="362160"/>
    <n v="0"/>
    <x v="19"/>
    <n v="261560"/>
    <n v="100600"/>
    <x v="1"/>
    <n v="6"/>
    <s v="June"/>
    <x v="0"/>
  </r>
  <r>
    <x v="2"/>
    <x v="1"/>
    <x v="2"/>
    <x v="0"/>
    <n v="367"/>
    <n v="10"/>
    <n v="12"/>
    <n v="8074"/>
    <n v="0"/>
    <x v="20"/>
    <n v="1101"/>
    <n v="6973"/>
    <x v="4"/>
    <n v="7"/>
    <s v="July"/>
    <x v="0"/>
  </r>
  <r>
    <x v="0"/>
    <x v="3"/>
    <x v="2"/>
    <x v="0"/>
    <n v="883"/>
    <n v="10"/>
    <n v="7"/>
    <n v="15011"/>
    <n v="0"/>
    <x v="21"/>
    <n v="4415"/>
    <n v="10596"/>
    <x v="5"/>
    <n v="8"/>
    <s v="August"/>
    <x v="0"/>
  </r>
  <r>
    <x v="1"/>
    <x v="2"/>
    <x v="2"/>
    <x v="0"/>
    <n v="549"/>
    <n v="10"/>
    <n v="15"/>
    <n v="13725"/>
    <n v="0"/>
    <x v="22"/>
    <n v="5490"/>
    <n v="8235"/>
    <x v="9"/>
    <n v="9"/>
    <s v="September"/>
    <x v="1"/>
  </r>
  <r>
    <x v="4"/>
    <x v="3"/>
    <x v="2"/>
    <x v="0"/>
    <n v="788"/>
    <n v="10"/>
    <n v="300"/>
    <n v="244280"/>
    <n v="0"/>
    <x v="23"/>
    <n v="197000"/>
    <n v="47280"/>
    <x v="9"/>
    <n v="9"/>
    <s v="September"/>
    <x v="1"/>
  </r>
  <r>
    <x v="1"/>
    <x v="3"/>
    <x v="2"/>
    <x v="0"/>
    <n v="2472"/>
    <n v="10"/>
    <n v="15"/>
    <n v="61800"/>
    <n v="0"/>
    <x v="24"/>
    <n v="24720"/>
    <n v="37080"/>
    <x v="6"/>
    <n v="9"/>
    <s v="September"/>
    <x v="0"/>
  </r>
  <r>
    <x v="0"/>
    <x v="4"/>
    <x v="2"/>
    <x v="0"/>
    <n v="1143"/>
    <n v="10"/>
    <n v="7"/>
    <n v="19431"/>
    <n v="0"/>
    <x v="25"/>
    <n v="5715"/>
    <n v="13716"/>
    <x v="10"/>
    <n v="10"/>
    <s v="October"/>
    <x v="0"/>
  </r>
  <r>
    <x v="0"/>
    <x v="0"/>
    <x v="2"/>
    <x v="0"/>
    <n v="1725"/>
    <n v="10"/>
    <n v="350"/>
    <n v="621000"/>
    <n v="0"/>
    <x v="26"/>
    <n v="448500"/>
    <n v="172500"/>
    <x v="11"/>
    <n v="11"/>
    <s v="November"/>
    <x v="1"/>
  </r>
  <r>
    <x v="2"/>
    <x v="4"/>
    <x v="2"/>
    <x v="0"/>
    <n v="912"/>
    <n v="10"/>
    <n v="12"/>
    <n v="20064"/>
    <n v="0"/>
    <x v="27"/>
    <n v="2736"/>
    <n v="17328"/>
    <x v="11"/>
    <n v="11"/>
    <s v="November"/>
    <x v="1"/>
  </r>
  <r>
    <x v="1"/>
    <x v="0"/>
    <x v="2"/>
    <x v="0"/>
    <n v="2152"/>
    <n v="10"/>
    <n v="15"/>
    <n v="53800"/>
    <n v="0"/>
    <x v="28"/>
    <n v="21520"/>
    <n v="32280"/>
    <x v="12"/>
    <n v="12"/>
    <s v="December"/>
    <x v="1"/>
  </r>
  <r>
    <x v="0"/>
    <x v="0"/>
    <x v="2"/>
    <x v="0"/>
    <n v="1817"/>
    <n v="10"/>
    <n v="20"/>
    <n v="54510"/>
    <n v="0"/>
    <x v="29"/>
    <n v="18170"/>
    <n v="36340"/>
    <x v="2"/>
    <n v="12"/>
    <s v="December"/>
    <x v="0"/>
  </r>
  <r>
    <x v="0"/>
    <x v="1"/>
    <x v="2"/>
    <x v="0"/>
    <n v="1513"/>
    <n v="10"/>
    <n v="350"/>
    <n v="544680"/>
    <n v="0"/>
    <x v="30"/>
    <n v="393380"/>
    <n v="151300"/>
    <x v="2"/>
    <n v="12"/>
    <s v="December"/>
    <x v="0"/>
  </r>
  <r>
    <x v="0"/>
    <x v="3"/>
    <x v="3"/>
    <x v="0"/>
    <n v="1493"/>
    <n v="120"/>
    <n v="7"/>
    <n v="189611"/>
    <n v="0"/>
    <x v="31"/>
    <n v="7465"/>
    <n v="182146"/>
    <x v="0"/>
    <n v="1"/>
    <s v="January"/>
    <x v="0"/>
  </r>
  <r>
    <x v="3"/>
    <x v="2"/>
    <x v="3"/>
    <x v="0"/>
    <n v="1804"/>
    <n v="120"/>
    <n v="125"/>
    <n v="441980"/>
    <n v="0"/>
    <x v="32"/>
    <n v="216480"/>
    <n v="225500"/>
    <x v="8"/>
    <n v="2"/>
    <s v="February"/>
    <x v="0"/>
  </r>
  <r>
    <x v="2"/>
    <x v="1"/>
    <x v="3"/>
    <x v="0"/>
    <n v="2161"/>
    <n v="120"/>
    <n v="12"/>
    <n v="285252"/>
    <n v="0"/>
    <x v="33"/>
    <n v="6483"/>
    <n v="278769"/>
    <x v="3"/>
    <n v="3"/>
    <s v="March"/>
    <x v="0"/>
  </r>
  <r>
    <x v="0"/>
    <x v="1"/>
    <x v="3"/>
    <x v="0"/>
    <n v="1006"/>
    <n v="120"/>
    <n v="350"/>
    <n v="472820"/>
    <n v="0"/>
    <x v="34"/>
    <n v="261560"/>
    <n v="211260"/>
    <x v="1"/>
    <n v="6"/>
    <s v="June"/>
    <x v="0"/>
  </r>
  <r>
    <x v="2"/>
    <x v="1"/>
    <x v="3"/>
    <x v="0"/>
    <n v="1545"/>
    <n v="120"/>
    <n v="12"/>
    <n v="203940"/>
    <n v="0"/>
    <x v="35"/>
    <n v="4635"/>
    <n v="199305"/>
    <x v="1"/>
    <n v="6"/>
    <s v="June"/>
    <x v="0"/>
  </r>
  <r>
    <x v="3"/>
    <x v="4"/>
    <x v="3"/>
    <x v="0"/>
    <n v="2821"/>
    <n v="120"/>
    <n v="125"/>
    <n v="691145"/>
    <n v="0"/>
    <x v="36"/>
    <n v="338520"/>
    <n v="352625"/>
    <x v="5"/>
    <n v="8"/>
    <s v="August"/>
    <x v="0"/>
  </r>
  <r>
    <x v="3"/>
    <x v="0"/>
    <x v="3"/>
    <x v="0"/>
    <n v="345"/>
    <n v="120"/>
    <n v="125"/>
    <n v="84525"/>
    <n v="0"/>
    <x v="37"/>
    <n v="41400"/>
    <n v="43125"/>
    <x v="7"/>
    <n v="10"/>
    <s v="October"/>
    <x v="1"/>
  </r>
  <r>
    <x v="4"/>
    <x v="0"/>
    <x v="4"/>
    <x v="0"/>
    <n v="2001"/>
    <n v="250"/>
    <n v="300"/>
    <n v="1100550"/>
    <n v="0"/>
    <x v="38"/>
    <n v="500250"/>
    <n v="600300"/>
    <x v="8"/>
    <n v="2"/>
    <s v="February"/>
    <x v="0"/>
  </r>
  <r>
    <x v="2"/>
    <x v="1"/>
    <x v="4"/>
    <x v="0"/>
    <n v="2838"/>
    <n v="250"/>
    <n v="12"/>
    <n v="743556"/>
    <n v="0"/>
    <x v="39"/>
    <n v="8514"/>
    <n v="735042"/>
    <x v="13"/>
    <n v="4"/>
    <s v="April"/>
    <x v="0"/>
  </r>
  <r>
    <x v="1"/>
    <x v="2"/>
    <x v="4"/>
    <x v="0"/>
    <n v="2178"/>
    <n v="250"/>
    <n v="15"/>
    <n v="577170"/>
    <n v="0"/>
    <x v="40"/>
    <n v="21780"/>
    <n v="555390"/>
    <x v="1"/>
    <n v="6"/>
    <s v="June"/>
    <x v="0"/>
  </r>
  <r>
    <x v="1"/>
    <x v="1"/>
    <x v="4"/>
    <x v="0"/>
    <n v="888"/>
    <n v="250"/>
    <n v="15"/>
    <n v="235320"/>
    <n v="0"/>
    <x v="41"/>
    <n v="8880"/>
    <n v="226440"/>
    <x v="1"/>
    <n v="6"/>
    <s v="June"/>
    <x v="0"/>
  </r>
  <r>
    <x v="0"/>
    <x v="2"/>
    <x v="4"/>
    <x v="0"/>
    <n v="1527"/>
    <n v="250"/>
    <n v="350"/>
    <n v="916200"/>
    <n v="0"/>
    <x v="42"/>
    <n v="397020"/>
    <n v="519180"/>
    <x v="9"/>
    <n v="9"/>
    <s v="September"/>
    <x v="1"/>
  </r>
  <r>
    <x v="4"/>
    <x v="2"/>
    <x v="4"/>
    <x v="0"/>
    <n v="2151"/>
    <n v="250"/>
    <n v="300"/>
    <n v="1183050"/>
    <n v="0"/>
    <x v="43"/>
    <n v="537750"/>
    <n v="645300"/>
    <x v="6"/>
    <n v="9"/>
    <s v="September"/>
    <x v="0"/>
  </r>
  <r>
    <x v="0"/>
    <x v="0"/>
    <x v="4"/>
    <x v="0"/>
    <n v="1817"/>
    <n v="250"/>
    <n v="20"/>
    <n v="490590"/>
    <n v="0"/>
    <x v="44"/>
    <n v="18170"/>
    <n v="472420"/>
    <x v="2"/>
    <n v="12"/>
    <s v="December"/>
    <x v="0"/>
  </r>
  <r>
    <x v="0"/>
    <x v="2"/>
    <x v="5"/>
    <x v="0"/>
    <n v="2750"/>
    <n v="260"/>
    <n v="350"/>
    <n v="1677500"/>
    <n v="0"/>
    <x v="45"/>
    <n v="715000"/>
    <n v="962500"/>
    <x v="8"/>
    <n v="2"/>
    <s v="February"/>
    <x v="0"/>
  </r>
  <r>
    <x v="2"/>
    <x v="4"/>
    <x v="5"/>
    <x v="0"/>
    <n v="1953"/>
    <n v="260"/>
    <n v="12"/>
    <n v="531216"/>
    <n v="0"/>
    <x v="46"/>
    <n v="5859"/>
    <n v="525357"/>
    <x v="13"/>
    <n v="4"/>
    <s v="April"/>
    <x v="0"/>
  </r>
  <r>
    <x v="3"/>
    <x v="1"/>
    <x v="5"/>
    <x v="0"/>
    <n v="4219.5"/>
    <n v="260"/>
    <n v="125"/>
    <n v="1624507.5"/>
    <n v="0"/>
    <x v="47"/>
    <n v="506340"/>
    <n v="1118167.5"/>
    <x v="13"/>
    <n v="4"/>
    <s v="April"/>
    <x v="0"/>
  </r>
  <r>
    <x v="0"/>
    <x v="2"/>
    <x v="5"/>
    <x v="0"/>
    <n v="1899"/>
    <n v="260"/>
    <n v="20"/>
    <n v="531720"/>
    <n v="0"/>
    <x v="48"/>
    <n v="18990"/>
    <n v="512730"/>
    <x v="1"/>
    <n v="6"/>
    <s v="June"/>
    <x v="0"/>
  </r>
  <r>
    <x v="0"/>
    <x v="1"/>
    <x v="5"/>
    <x v="0"/>
    <n v="1686"/>
    <n v="260"/>
    <n v="7"/>
    <n v="450162"/>
    <n v="0"/>
    <x v="49"/>
    <n v="8430"/>
    <n v="441732"/>
    <x v="4"/>
    <n v="7"/>
    <s v="July"/>
    <x v="0"/>
  </r>
  <r>
    <x v="2"/>
    <x v="4"/>
    <x v="5"/>
    <x v="0"/>
    <n v="2141"/>
    <n v="260"/>
    <n v="12"/>
    <n v="582352"/>
    <n v="0"/>
    <x v="50"/>
    <n v="6423"/>
    <n v="575929"/>
    <x v="5"/>
    <n v="8"/>
    <s v="August"/>
    <x v="0"/>
  </r>
  <r>
    <x v="0"/>
    <x v="4"/>
    <x v="5"/>
    <x v="0"/>
    <n v="1143"/>
    <n v="260"/>
    <n v="7"/>
    <n v="305181"/>
    <n v="0"/>
    <x v="51"/>
    <n v="5715"/>
    <n v="299466"/>
    <x v="10"/>
    <n v="10"/>
    <s v="October"/>
    <x v="0"/>
  </r>
  <r>
    <x v="1"/>
    <x v="4"/>
    <x v="5"/>
    <x v="0"/>
    <n v="615"/>
    <n v="260"/>
    <n v="15"/>
    <n v="169125"/>
    <n v="0"/>
    <x v="52"/>
    <n v="6150"/>
    <n v="162975"/>
    <x v="2"/>
    <n v="12"/>
    <s v="December"/>
    <x v="0"/>
  </r>
  <r>
    <x v="0"/>
    <x v="2"/>
    <x v="2"/>
    <x v="1"/>
    <n v="3945"/>
    <n v="10"/>
    <n v="7"/>
    <n v="67065"/>
    <n v="276.14999999999998"/>
    <x v="53"/>
    <n v="19725"/>
    <n v="47063.850000000006"/>
    <x v="0"/>
    <n v="1"/>
    <s v="January"/>
    <x v="0"/>
  </r>
  <r>
    <x v="1"/>
    <x v="2"/>
    <x v="2"/>
    <x v="1"/>
    <n v="2296"/>
    <n v="10"/>
    <n v="15"/>
    <n v="57400"/>
    <n v="344.4"/>
    <x v="54"/>
    <n v="22960"/>
    <n v="34095.599999999999"/>
    <x v="8"/>
    <n v="2"/>
    <s v="February"/>
    <x v="0"/>
  </r>
  <r>
    <x v="0"/>
    <x v="2"/>
    <x v="2"/>
    <x v="1"/>
    <n v="1030"/>
    <n v="10"/>
    <n v="7"/>
    <n v="17510"/>
    <n v="72.099999999999994"/>
    <x v="55"/>
    <n v="5150"/>
    <n v="12287.900000000001"/>
    <x v="14"/>
    <n v="5"/>
    <s v="May"/>
    <x v="0"/>
  </r>
  <r>
    <x v="0"/>
    <x v="2"/>
    <x v="3"/>
    <x v="1"/>
    <n v="639"/>
    <n v="120"/>
    <n v="7"/>
    <n v="81153"/>
    <n v="44.73"/>
    <x v="56"/>
    <n v="3195"/>
    <n v="77913.27"/>
    <x v="15"/>
    <n v="11"/>
    <s v="November"/>
    <x v="0"/>
  </r>
  <r>
    <x v="0"/>
    <x v="0"/>
    <x v="4"/>
    <x v="1"/>
    <n v="1326"/>
    <n v="250"/>
    <n v="7"/>
    <n v="340782"/>
    <n v="92.82"/>
    <x v="57"/>
    <n v="6630"/>
    <n v="334059.18"/>
    <x v="3"/>
    <n v="3"/>
    <s v="March"/>
    <x v="0"/>
  </r>
  <r>
    <x v="2"/>
    <x v="4"/>
    <x v="0"/>
    <x v="1"/>
    <n v="1858"/>
    <n v="3"/>
    <n v="12"/>
    <n v="27870"/>
    <n v="222.96"/>
    <x v="58"/>
    <n v="5574"/>
    <n v="22073.040000000001"/>
    <x v="8"/>
    <n v="2"/>
    <s v="February"/>
    <x v="0"/>
  </r>
  <r>
    <x v="0"/>
    <x v="3"/>
    <x v="0"/>
    <x v="1"/>
    <n v="1210"/>
    <n v="3"/>
    <n v="350"/>
    <n v="427130"/>
    <n v="4235"/>
    <x v="59"/>
    <n v="314600"/>
    <n v="108295"/>
    <x v="3"/>
    <n v="3"/>
    <s v="March"/>
    <x v="0"/>
  </r>
  <r>
    <x v="0"/>
    <x v="4"/>
    <x v="0"/>
    <x v="1"/>
    <n v="2529"/>
    <n v="3"/>
    <n v="7"/>
    <n v="25290"/>
    <n v="177.03"/>
    <x v="60"/>
    <n v="12645"/>
    <n v="12467.970000000001"/>
    <x v="4"/>
    <n v="7"/>
    <s v="July"/>
    <x v="0"/>
  </r>
  <r>
    <x v="2"/>
    <x v="0"/>
    <x v="0"/>
    <x v="1"/>
    <n v="1445"/>
    <n v="3"/>
    <n v="12"/>
    <n v="21675"/>
    <n v="173.4"/>
    <x v="61"/>
    <n v="4335"/>
    <n v="17166.599999999999"/>
    <x v="6"/>
    <n v="9"/>
    <s v="September"/>
    <x v="0"/>
  </r>
  <r>
    <x v="3"/>
    <x v="4"/>
    <x v="0"/>
    <x v="1"/>
    <n v="330"/>
    <n v="3"/>
    <n v="125"/>
    <n v="42240"/>
    <n v="412.5"/>
    <x v="62"/>
    <n v="39600"/>
    <n v="2227.5"/>
    <x v="9"/>
    <n v="9"/>
    <s v="September"/>
    <x v="1"/>
  </r>
  <r>
    <x v="2"/>
    <x v="2"/>
    <x v="0"/>
    <x v="1"/>
    <n v="2671"/>
    <n v="3"/>
    <n v="12"/>
    <n v="40065"/>
    <n v="320.52"/>
    <x v="63"/>
    <n v="8013"/>
    <n v="31731.480000000003"/>
    <x v="6"/>
    <n v="9"/>
    <s v="September"/>
    <x v="0"/>
  </r>
  <r>
    <x v="2"/>
    <x v="1"/>
    <x v="0"/>
    <x v="1"/>
    <n v="766"/>
    <n v="3"/>
    <n v="12"/>
    <n v="11490"/>
    <n v="91.92"/>
    <x v="64"/>
    <n v="2298"/>
    <n v="9100.08"/>
    <x v="7"/>
    <n v="10"/>
    <s v="October"/>
    <x v="1"/>
  </r>
  <r>
    <x v="4"/>
    <x v="3"/>
    <x v="0"/>
    <x v="1"/>
    <n v="494"/>
    <n v="3"/>
    <n v="300"/>
    <n v="149682"/>
    <n v="1482"/>
    <x v="65"/>
    <n v="123500"/>
    <n v="24700"/>
    <x v="7"/>
    <n v="10"/>
    <s v="October"/>
    <x v="1"/>
  </r>
  <r>
    <x v="0"/>
    <x v="3"/>
    <x v="0"/>
    <x v="1"/>
    <n v="1397"/>
    <n v="3"/>
    <n v="350"/>
    <n v="493141"/>
    <n v="4889.5"/>
    <x v="66"/>
    <n v="363220"/>
    <n v="125031.5"/>
    <x v="10"/>
    <n v="10"/>
    <s v="October"/>
    <x v="0"/>
  </r>
  <r>
    <x v="0"/>
    <x v="2"/>
    <x v="0"/>
    <x v="1"/>
    <n v="2155"/>
    <n v="3"/>
    <n v="350"/>
    <n v="760715"/>
    <n v="7542.5"/>
    <x v="67"/>
    <n v="560300"/>
    <n v="192872.5"/>
    <x v="2"/>
    <n v="12"/>
    <s v="December"/>
    <x v="0"/>
  </r>
  <r>
    <x v="1"/>
    <x v="3"/>
    <x v="1"/>
    <x v="1"/>
    <n v="2214"/>
    <n v="5"/>
    <n v="15"/>
    <n v="44280"/>
    <n v="332.1"/>
    <x v="68"/>
    <n v="22140"/>
    <n v="21807.9"/>
    <x v="3"/>
    <n v="3"/>
    <s v="March"/>
    <x v="0"/>
  </r>
  <r>
    <x v="4"/>
    <x v="4"/>
    <x v="1"/>
    <x v="1"/>
    <n v="2301"/>
    <n v="5"/>
    <n v="300"/>
    <n v="701805"/>
    <n v="6903"/>
    <x v="69"/>
    <n v="575250"/>
    <n v="119652"/>
    <x v="13"/>
    <n v="4"/>
    <s v="April"/>
    <x v="0"/>
  </r>
  <r>
    <x v="0"/>
    <x v="2"/>
    <x v="1"/>
    <x v="1"/>
    <n v="1375.5"/>
    <n v="5"/>
    <n v="20"/>
    <n v="34387.5"/>
    <n v="275.10000000000002"/>
    <x v="70"/>
    <n v="13755"/>
    <n v="20357.400000000001"/>
    <x v="4"/>
    <n v="7"/>
    <s v="July"/>
    <x v="0"/>
  </r>
  <r>
    <x v="0"/>
    <x v="0"/>
    <x v="1"/>
    <x v="1"/>
    <n v="1830"/>
    <n v="5"/>
    <n v="7"/>
    <n v="21960"/>
    <n v="128.1"/>
    <x v="71"/>
    <n v="9150"/>
    <n v="12681.900000000001"/>
    <x v="5"/>
    <n v="8"/>
    <s v="August"/>
    <x v="0"/>
  </r>
  <r>
    <x v="4"/>
    <x v="4"/>
    <x v="1"/>
    <x v="1"/>
    <n v="2498"/>
    <n v="5"/>
    <n v="300"/>
    <n v="761890"/>
    <n v="7494"/>
    <x v="72"/>
    <n v="624500"/>
    <n v="129896"/>
    <x v="9"/>
    <n v="9"/>
    <s v="September"/>
    <x v="1"/>
  </r>
  <r>
    <x v="3"/>
    <x v="4"/>
    <x v="1"/>
    <x v="1"/>
    <n v="663"/>
    <n v="5"/>
    <n v="125"/>
    <n v="86190"/>
    <n v="828.75"/>
    <x v="73"/>
    <n v="79560"/>
    <n v="5801.25"/>
    <x v="7"/>
    <n v="10"/>
    <s v="October"/>
    <x v="1"/>
  </r>
  <r>
    <x v="1"/>
    <x v="4"/>
    <x v="2"/>
    <x v="1"/>
    <n v="1514"/>
    <n v="10"/>
    <n v="15"/>
    <n v="37850"/>
    <n v="227.1"/>
    <x v="74"/>
    <n v="15140"/>
    <n v="22482.9"/>
    <x v="8"/>
    <n v="2"/>
    <s v="February"/>
    <x v="0"/>
  </r>
  <r>
    <x v="0"/>
    <x v="4"/>
    <x v="2"/>
    <x v="1"/>
    <n v="4492.5"/>
    <n v="10"/>
    <n v="7"/>
    <n v="76372.5"/>
    <n v="314.47500000000002"/>
    <x v="75"/>
    <n v="22462.5"/>
    <n v="53595.524999999994"/>
    <x v="13"/>
    <n v="4"/>
    <s v="April"/>
    <x v="0"/>
  </r>
  <r>
    <x v="3"/>
    <x v="4"/>
    <x v="2"/>
    <x v="1"/>
    <n v="727"/>
    <n v="10"/>
    <n v="125"/>
    <n v="98145"/>
    <n v="908.75"/>
    <x v="76"/>
    <n v="87240"/>
    <n v="9996.25"/>
    <x v="1"/>
    <n v="6"/>
    <s v="June"/>
    <x v="0"/>
  </r>
  <r>
    <x v="3"/>
    <x v="2"/>
    <x v="2"/>
    <x v="1"/>
    <n v="787"/>
    <n v="10"/>
    <n v="125"/>
    <n v="106245"/>
    <n v="983.75"/>
    <x v="77"/>
    <n v="94440"/>
    <n v="10821.25"/>
    <x v="1"/>
    <n v="6"/>
    <s v="June"/>
    <x v="0"/>
  </r>
  <r>
    <x v="3"/>
    <x v="3"/>
    <x v="2"/>
    <x v="1"/>
    <n v="1823"/>
    <n v="10"/>
    <n v="125"/>
    <n v="246105"/>
    <n v="2278.75"/>
    <x v="78"/>
    <n v="218760"/>
    <n v="25066.25"/>
    <x v="4"/>
    <n v="7"/>
    <s v="July"/>
    <x v="0"/>
  </r>
  <r>
    <x v="1"/>
    <x v="1"/>
    <x v="2"/>
    <x v="1"/>
    <n v="747"/>
    <n v="10"/>
    <n v="15"/>
    <n v="18675"/>
    <n v="112.05"/>
    <x v="79"/>
    <n v="7470"/>
    <n v="11092.95"/>
    <x v="6"/>
    <n v="9"/>
    <s v="September"/>
    <x v="0"/>
  </r>
  <r>
    <x v="2"/>
    <x v="1"/>
    <x v="2"/>
    <x v="1"/>
    <n v="766"/>
    <n v="10"/>
    <n v="12"/>
    <n v="16852"/>
    <n v="91.92"/>
    <x v="80"/>
    <n v="2298"/>
    <n v="14462.080000000002"/>
    <x v="7"/>
    <n v="10"/>
    <s v="October"/>
    <x v="1"/>
  </r>
  <r>
    <x v="4"/>
    <x v="4"/>
    <x v="2"/>
    <x v="1"/>
    <n v="2905"/>
    <n v="10"/>
    <n v="300"/>
    <n v="900550"/>
    <n v="8715"/>
    <x v="81"/>
    <n v="726250"/>
    <n v="165585"/>
    <x v="15"/>
    <n v="11"/>
    <s v="November"/>
    <x v="0"/>
  </r>
  <r>
    <x v="0"/>
    <x v="2"/>
    <x v="2"/>
    <x v="1"/>
    <n v="2155"/>
    <n v="10"/>
    <n v="350"/>
    <n v="775800"/>
    <n v="7542.5"/>
    <x v="82"/>
    <n v="560300"/>
    <n v="207957.5"/>
    <x v="2"/>
    <n v="12"/>
    <s v="December"/>
    <x v="0"/>
  </r>
  <r>
    <x v="0"/>
    <x v="2"/>
    <x v="3"/>
    <x v="1"/>
    <n v="3864"/>
    <n v="120"/>
    <n v="20"/>
    <n v="540960"/>
    <n v="772.80000000000007"/>
    <x v="83"/>
    <n v="38640"/>
    <n v="501547.19999999995"/>
    <x v="13"/>
    <n v="4"/>
    <s v="April"/>
    <x v="0"/>
  </r>
  <r>
    <x v="0"/>
    <x v="3"/>
    <x v="3"/>
    <x v="1"/>
    <n v="362"/>
    <n v="120"/>
    <n v="7"/>
    <n v="45974"/>
    <n v="25.34"/>
    <x v="84"/>
    <n v="1810"/>
    <n v="44138.66"/>
    <x v="14"/>
    <n v="5"/>
    <s v="May"/>
    <x v="0"/>
  </r>
  <r>
    <x v="3"/>
    <x v="0"/>
    <x v="3"/>
    <x v="1"/>
    <n v="923"/>
    <n v="120"/>
    <n v="125"/>
    <n v="226135"/>
    <n v="1153.75"/>
    <x v="85"/>
    <n v="110760"/>
    <n v="114221.25"/>
    <x v="5"/>
    <n v="8"/>
    <s v="August"/>
    <x v="0"/>
  </r>
  <r>
    <x v="3"/>
    <x v="4"/>
    <x v="3"/>
    <x v="1"/>
    <n v="663"/>
    <n v="120"/>
    <n v="125"/>
    <n v="162435"/>
    <n v="828.75"/>
    <x v="86"/>
    <n v="79560"/>
    <n v="82046.25"/>
    <x v="7"/>
    <n v="10"/>
    <s v="October"/>
    <x v="1"/>
  </r>
  <r>
    <x v="0"/>
    <x v="0"/>
    <x v="3"/>
    <x v="1"/>
    <n v="2092"/>
    <n v="120"/>
    <n v="7"/>
    <n v="265684"/>
    <n v="146.44"/>
    <x v="87"/>
    <n v="10460"/>
    <n v="255077.56"/>
    <x v="11"/>
    <n v="11"/>
    <s v="November"/>
    <x v="1"/>
  </r>
  <r>
    <x v="0"/>
    <x v="1"/>
    <x v="4"/>
    <x v="1"/>
    <n v="263"/>
    <n v="250"/>
    <n v="7"/>
    <n v="67591"/>
    <n v="18.41"/>
    <x v="88"/>
    <n v="1315"/>
    <n v="66257.59"/>
    <x v="3"/>
    <n v="3"/>
    <s v="March"/>
    <x v="0"/>
  </r>
  <r>
    <x v="0"/>
    <x v="0"/>
    <x v="4"/>
    <x v="1"/>
    <n v="943.5"/>
    <n v="250"/>
    <n v="350"/>
    <n v="566100"/>
    <n v="3302.25"/>
    <x v="89"/>
    <n v="245310"/>
    <n v="317487.75"/>
    <x v="13"/>
    <n v="4"/>
    <s v="April"/>
    <x v="0"/>
  </r>
  <r>
    <x v="3"/>
    <x v="4"/>
    <x v="4"/>
    <x v="1"/>
    <n v="727"/>
    <n v="250"/>
    <n v="125"/>
    <n v="272625"/>
    <n v="908.75"/>
    <x v="90"/>
    <n v="87240"/>
    <n v="184476.25"/>
    <x v="1"/>
    <n v="6"/>
    <s v="June"/>
    <x v="0"/>
  </r>
  <r>
    <x v="3"/>
    <x v="2"/>
    <x v="4"/>
    <x v="1"/>
    <n v="787"/>
    <n v="250"/>
    <n v="125"/>
    <n v="295125"/>
    <n v="983.75"/>
    <x v="91"/>
    <n v="94440"/>
    <n v="199701.25"/>
    <x v="1"/>
    <n v="6"/>
    <s v="June"/>
    <x v="0"/>
  </r>
  <r>
    <x v="4"/>
    <x v="1"/>
    <x v="4"/>
    <x v="1"/>
    <n v="986"/>
    <n v="250"/>
    <n v="300"/>
    <n v="542300"/>
    <n v="2958"/>
    <x v="92"/>
    <n v="246500"/>
    <n v="292842"/>
    <x v="6"/>
    <n v="9"/>
    <s v="September"/>
    <x v="0"/>
  </r>
  <r>
    <x v="4"/>
    <x v="3"/>
    <x v="4"/>
    <x v="1"/>
    <n v="494"/>
    <n v="250"/>
    <n v="300"/>
    <n v="271700"/>
    <n v="1482"/>
    <x v="93"/>
    <n v="123500"/>
    <n v="146718"/>
    <x v="7"/>
    <n v="10"/>
    <s v="October"/>
    <x v="1"/>
  </r>
  <r>
    <x v="0"/>
    <x v="3"/>
    <x v="4"/>
    <x v="1"/>
    <n v="1397"/>
    <n v="250"/>
    <n v="350"/>
    <n v="838200"/>
    <n v="4889.5"/>
    <x v="94"/>
    <n v="363220"/>
    <n v="470090.5"/>
    <x v="10"/>
    <n v="10"/>
    <s v="October"/>
    <x v="0"/>
  </r>
  <r>
    <x v="3"/>
    <x v="2"/>
    <x v="4"/>
    <x v="1"/>
    <n v="1744"/>
    <n v="250"/>
    <n v="125"/>
    <n v="654000"/>
    <n v="2180"/>
    <x v="95"/>
    <n v="209280"/>
    <n v="442540"/>
    <x v="15"/>
    <n v="11"/>
    <s v="November"/>
    <x v="0"/>
  </r>
  <r>
    <x v="2"/>
    <x v="4"/>
    <x v="5"/>
    <x v="1"/>
    <n v="1989"/>
    <n v="260"/>
    <n v="12"/>
    <n v="541008"/>
    <n v="238.68"/>
    <x v="96"/>
    <n v="5967"/>
    <n v="534802.31999999995"/>
    <x v="9"/>
    <n v="9"/>
    <s v="September"/>
    <x v="1"/>
  </r>
  <r>
    <x v="1"/>
    <x v="2"/>
    <x v="5"/>
    <x v="1"/>
    <n v="321"/>
    <n v="260"/>
    <n v="15"/>
    <n v="88275"/>
    <n v="48.15"/>
    <x v="97"/>
    <n v="3210"/>
    <n v="85016.85"/>
    <x v="11"/>
    <n v="11"/>
    <s v="November"/>
    <x v="1"/>
  </r>
  <r>
    <x v="3"/>
    <x v="0"/>
    <x v="0"/>
    <x v="1"/>
    <n v="742.5"/>
    <n v="3"/>
    <n v="125"/>
    <n v="95040"/>
    <n v="1856.25"/>
    <x v="98"/>
    <n v="89100"/>
    <n v="4083.75"/>
    <x v="13"/>
    <n v="4"/>
    <s v="April"/>
    <x v="0"/>
  </r>
  <r>
    <x v="2"/>
    <x v="0"/>
    <x v="0"/>
    <x v="1"/>
    <n v="1295"/>
    <n v="3"/>
    <n v="12"/>
    <n v="19425"/>
    <n v="310.8"/>
    <x v="99"/>
    <n v="3885"/>
    <n v="15229.2"/>
    <x v="10"/>
    <n v="10"/>
    <s v="October"/>
    <x v="0"/>
  </r>
  <r>
    <x v="4"/>
    <x v="1"/>
    <x v="0"/>
    <x v="1"/>
    <n v="214"/>
    <n v="3"/>
    <n v="300"/>
    <n v="64842"/>
    <n v="1284"/>
    <x v="100"/>
    <n v="53500"/>
    <n v="10058"/>
    <x v="7"/>
    <n v="10"/>
    <s v="October"/>
    <x v="1"/>
  </r>
  <r>
    <x v="0"/>
    <x v="2"/>
    <x v="0"/>
    <x v="1"/>
    <n v="2145"/>
    <n v="3"/>
    <n v="7"/>
    <n v="21450"/>
    <n v="300.3"/>
    <x v="101"/>
    <n v="10725"/>
    <n v="10424.700000000001"/>
    <x v="11"/>
    <n v="11"/>
    <s v="November"/>
    <x v="1"/>
  </r>
  <r>
    <x v="0"/>
    <x v="0"/>
    <x v="0"/>
    <x v="1"/>
    <n v="2852"/>
    <n v="3"/>
    <n v="350"/>
    <n v="1006756"/>
    <n v="19964"/>
    <x v="102"/>
    <n v="741520"/>
    <n v="245272"/>
    <x v="2"/>
    <n v="12"/>
    <s v="December"/>
    <x v="0"/>
  </r>
  <r>
    <x v="2"/>
    <x v="4"/>
    <x v="1"/>
    <x v="1"/>
    <n v="1142"/>
    <n v="5"/>
    <n v="12"/>
    <n v="19414"/>
    <n v="274.08"/>
    <x v="103"/>
    <n v="3426"/>
    <n v="15713.919999999998"/>
    <x v="1"/>
    <n v="6"/>
    <s v="June"/>
    <x v="0"/>
  </r>
  <r>
    <x v="0"/>
    <x v="4"/>
    <x v="1"/>
    <x v="1"/>
    <n v="1566"/>
    <n v="5"/>
    <n v="20"/>
    <n v="39150"/>
    <n v="626.4"/>
    <x v="104"/>
    <n v="15660"/>
    <n v="22863.599999999999"/>
    <x v="10"/>
    <n v="10"/>
    <s v="October"/>
    <x v="0"/>
  </r>
  <r>
    <x v="2"/>
    <x v="3"/>
    <x v="1"/>
    <x v="1"/>
    <n v="690"/>
    <n v="5"/>
    <n v="12"/>
    <n v="11730"/>
    <n v="165.6"/>
    <x v="105"/>
    <n v="2070"/>
    <n v="9494.4"/>
    <x v="15"/>
    <n v="11"/>
    <s v="November"/>
    <x v="0"/>
  </r>
  <r>
    <x v="3"/>
    <x v="3"/>
    <x v="1"/>
    <x v="1"/>
    <n v="1660"/>
    <n v="5"/>
    <n v="125"/>
    <n v="215800"/>
    <n v="4150"/>
    <x v="106"/>
    <n v="199200"/>
    <n v="12450"/>
    <x v="11"/>
    <n v="11"/>
    <s v="November"/>
    <x v="1"/>
  </r>
  <r>
    <x v="1"/>
    <x v="0"/>
    <x v="2"/>
    <x v="1"/>
    <n v="2363"/>
    <n v="10"/>
    <n v="15"/>
    <n v="59075"/>
    <n v="708.9"/>
    <x v="107"/>
    <n v="23630"/>
    <n v="34736.1"/>
    <x v="8"/>
    <n v="2"/>
    <s v="February"/>
    <x v="0"/>
  </r>
  <r>
    <x v="4"/>
    <x v="2"/>
    <x v="2"/>
    <x v="1"/>
    <n v="918"/>
    <n v="10"/>
    <n v="300"/>
    <n v="284580"/>
    <n v="5508"/>
    <x v="108"/>
    <n v="229500"/>
    <n v="49572"/>
    <x v="14"/>
    <n v="5"/>
    <s v="May"/>
    <x v="0"/>
  </r>
  <r>
    <x v="4"/>
    <x v="1"/>
    <x v="2"/>
    <x v="1"/>
    <n v="1728"/>
    <n v="10"/>
    <n v="300"/>
    <n v="535680"/>
    <n v="10368"/>
    <x v="109"/>
    <n v="432000"/>
    <n v="93312"/>
    <x v="14"/>
    <n v="5"/>
    <s v="May"/>
    <x v="0"/>
  </r>
  <r>
    <x v="2"/>
    <x v="4"/>
    <x v="2"/>
    <x v="1"/>
    <n v="1142"/>
    <n v="10"/>
    <n v="12"/>
    <n v="25124"/>
    <n v="274.08"/>
    <x v="110"/>
    <n v="3426"/>
    <n v="21423.919999999998"/>
    <x v="1"/>
    <n v="6"/>
    <s v="June"/>
    <x v="0"/>
  </r>
  <r>
    <x v="3"/>
    <x v="3"/>
    <x v="2"/>
    <x v="1"/>
    <n v="662"/>
    <n v="10"/>
    <n v="125"/>
    <n v="89370"/>
    <n v="1655"/>
    <x v="111"/>
    <n v="79440"/>
    <n v="8275"/>
    <x v="1"/>
    <n v="6"/>
    <s v="June"/>
    <x v="0"/>
  </r>
  <r>
    <x v="2"/>
    <x v="0"/>
    <x v="2"/>
    <x v="1"/>
    <n v="1295"/>
    <n v="10"/>
    <n v="12"/>
    <n v="28490"/>
    <n v="310.8"/>
    <x v="112"/>
    <n v="3885"/>
    <n v="24294.2"/>
    <x v="10"/>
    <n v="10"/>
    <s v="October"/>
    <x v="0"/>
  </r>
  <r>
    <x v="3"/>
    <x v="1"/>
    <x v="2"/>
    <x v="1"/>
    <n v="809"/>
    <n v="10"/>
    <n v="125"/>
    <n v="109215"/>
    <n v="2022.5"/>
    <x v="113"/>
    <n v="97080"/>
    <n v="10112.5"/>
    <x v="7"/>
    <n v="10"/>
    <s v="October"/>
    <x v="1"/>
  </r>
  <r>
    <x v="3"/>
    <x v="3"/>
    <x v="2"/>
    <x v="1"/>
    <n v="2145"/>
    <n v="10"/>
    <n v="125"/>
    <n v="289575"/>
    <n v="5362.5"/>
    <x v="114"/>
    <n v="257400"/>
    <n v="26812.5"/>
    <x v="7"/>
    <n v="10"/>
    <s v="October"/>
    <x v="1"/>
  </r>
  <r>
    <x v="2"/>
    <x v="2"/>
    <x v="2"/>
    <x v="1"/>
    <n v="1785"/>
    <n v="10"/>
    <n v="12"/>
    <n v="39270"/>
    <n v="428.4"/>
    <x v="115"/>
    <n v="5355"/>
    <n v="33486.6"/>
    <x v="11"/>
    <n v="11"/>
    <s v="November"/>
    <x v="1"/>
  </r>
  <r>
    <x v="4"/>
    <x v="0"/>
    <x v="2"/>
    <x v="1"/>
    <n v="1916"/>
    <n v="10"/>
    <n v="300"/>
    <n v="593960"/>
    <n v="11496"/>
    <x v="116"/>
    <n v="479000"/>
    <n v="103464"/>
    <x v="2"/>
    <n v="12"/>
    <s v="December"/>
    <x v="0"/>
  </r>
  <r>
    <x v="0"/>
    <x v="0"/>
    <x v="2"/>
    <x v="1"/>
    <n v="2852"/>
    <n v="10"/>
    <n v="350"/>
    <n v="1026720"/>
    <n v="19964"/>
    <x v="117"/>
    <n v="741520"/>
    <n v="265236"/>
    <x v="2"/>
    <n v="12"/>
    <s v="December"/>
    <x v="0"/>
  </r>
  <r>
    <x v="3"/>
    <x v="0"/>
    <x v="2"/>
    <x v="1"/>
    <n v="2729"/>
    <n v="10"/>
    <n v="125"/>
    <n v="368415"/>
    <n v="6822.5"/>
    <x v="118"/>
    <n v="327480"/>
    <n v="34112.5"/>
    <x v="2"/>
    <n v="12"/>
    <s v="December"/>
    <x v="0"/>
  </r>
  <r>
    <x v="1"/>
    <x v="4"/>
    <x v="2"/>
    <x v="1"/>
    <n v="1925"/>
    <n v="10"/>
    <n v="15"/>
    <n v="48125"/>
    <n v="577.5"/>
    <x v="119"/>
    <n v="19250"/>
    <n v="28297.5"/>
    <x v="12"/>
    <n v="12"/>
    <s v="December"/>
    <x v="1"/>
  </r>
  <r>
    <x v="0"/>
    <x v="4"/>
    <x v="2"/>
    <x v="1"/>
    <n v="2013"/>
    <n v="10"/>
    <n v="7"/>
    <n v="34221"/>
    <n v="281.82"/>
    <x v="120"/>
    <n v="10065"/>
    <n v="23874.18"/>
    <x v="12"/>
    <n v="12"/>
    <s v="December"/>
    <x v="1"/>
  </r>
  <r>
    <x v="2"/>
    <x v="2"/>
    <x v="2"/>
    <x v="1"/>
    <n v="1055"/>
    <n v="10"/>
    <n v="12"/>
    <n v="23210"/>
    <n v="253.2"/>
    <x v="121"/>
    <n v="3165"/>
    <n v="19791.8"/>
    <x v="2"/>
    <n v="12"/>
    <s v="December"/>
    <x v="0"/>
  </r>
  <r>
    <x v="2"/>
    <x v="3"/>
    <x v="2"/>
    <x v="1"/>
    <n v="1084"/>
    <n v="10"/>
    <n v="12"/>
    <n v="23848"/>
    <n v="260.16000000000003"/>
    <x v="122"/>
    <n v="3252"/>
    <n v="20335.84"/>
    <x v="2"/>
    <n v="12"/>
    <s v="December"/>
    <x v="0"/>
  </r>
  <r>
    <x v="0"/>
    <x v="4"/>
    <x v="3"/>
    <x v="1"/>
    <n v="1566"/>
    <n v="120"/>
    <n v="20"/>
    <n v="219240"/>
    <n v="626.4"/>
    <x v="123"/>
    <n v="15660"/>
    <n v="202953.60000000001"/>
    <x v="10"/>
    <n v="10"/>
    <s v="October"/>
    <x v="0"/>
  </r>
  <r>
    <x v="0"/>
    <x v="1"/>
    <x v="3"/>
    <x v="1"/>
    <n v="2966"/>
    <n v="120"/>
    <n v="350"/>
    <n v="1394020"/>
    <n v="20762"/>
    <x v="124"/>
    <n v="771160"/>
    <n v="602098"/>
    <x v="7"/>
    <n v="10"/>
    <s v="October"/>
    <x v="1"/>
  </r>
  <r>
    <x v="0"/>
    <x v="1"/>
    <x v="3"/>
    <x v="1"/>
    <n v="2877"/>
    <n v="120"/>
    <n v="350"/>
    <n v="1352190"/>
    <n v="20139"/>
    <x v="125"/>
    <n v="748020"/>
    <n v="584031"/>
    <x v="10"/>
    <n v="10"/>
    <s v="October"/>
    <x v="0"/>
  </r>
  <r>
    <x v="3"/>
    <x v="1"/>
    <x v="3"/>
    <x v="1"/>
    <n v="809"/>
    <n v="120"/>
    <n v="125"/>
    <n v="198205"/>
    <n v="2022.5"/>
    <x v="126"/>
    <n v="97080"/>
    <n v="99102.5"/>
    <x v="7"/>
    <n v="10"/>
    <s v="October"/>
    <x v="1"/>
  </r>
  <r>
    <x v="3"/>
    <x v="3"/>
    <x v="3"/>
    <x v="1"/>
    <n v="2145"/>
    <n v="120"/>
    <n v="125"/>
    <n v="525525"/>
    <n v="5362.5"/>
    <x v="127"/>
    <n v="257400"/>
    <n v="262762.5"/>
    <x v="7"/>
    <n v="10"/>
    <s v="October"/>
    <x v="1"/>
  </r>
  <r>
    <x v="2"/>
    <x v="2"/>
    <x v="3"/>
    <x v="1"/>
    <n v="1055"/>
    <n v="120"/>
    <n v="12"/>
    <n v="139260"/>
    <n v="253.2"/>
    <x v="128"/>
    <n v="3165"/>
    <n v="135841.79999999999"/>
    <x v="2"/>
    <n v="12"/>
    <s v="December"/>
    <x v="0"/>
  </r>
  <r>
    <x v="0"/>
    <x v="3"/>
    <x v="3"/>
    <x v="1"/>
    <n v="544"/>
    <n v="120"/>
    <n v="20"/>
    <n v="76160"/>
    <n v="217.6"/>
    <x v="129"/>
    <n v="5440"/>
    <n v="70502.399999999994"/>
    <x v="12"/>
    <n v="12"/>
    <s v="December"/>
    <x v="1"/>
  </r>
  <r>
    <x v="2"/>
    <x v="3"/>
    <x v="3"/>
    <x v="1"/>
    <n v="1084"/>
    <n v="120"/>
    <n v="12"/>
    <n v="143088"/>
    <n v="260.16000000000003"/>
    <x v="130"/>
    <n v="3252"/>
    <n v="139575.84"/>
    <x v="2"/>
    <n v="12"/>
    <s v="December"/>
    <x v="0"/>
  </r>
  <r>
    <x v="3"/>
    <x v="3"/>
    <x v="4"/>
    <x v="1"/>
    <n v="662"/>
    <n v="250"/>
    <n v="125"/>
    <n v="248250"/>
    <n v="1655"/>
    <x v="131"/>
    <n v="79440"/>
    <n v="167155"/>
    <x v="1"/>
    <n v="6"/>
    <s v="June"/>
    <x v="0"/>
  </r>
  <r>
    <x v="4"/>
    <x v="1"/>
    <x v="4"/>
    <x v="1"/>
    <n v="214"/>
    <n v="250"/>
    <n v="300"/>
    <n v="117700"/>
    <n v="1284"/>
    <x v="132"/>
    <n v="53500"/>
    <n v="62916"/>
    <x v="7"/>
    <n v="10"/>
    <s v="October"/>
    <x v="1"/>
  </r>
  <r>
    <x v="0"/>
    <x v="1"/>
    <x v="4"/>
    <x v="1"/>
    <n v="2877"/>
    <n v="250"/>
    <n v="350"/>
    <n v="1726200"/>
    <n v="20139"/>
    <x v="133"/>
    <n v="748020"/>
    <n v="958041"/>
    <x v="10"/>
    <n v="10"/>
    <s v="October"/>
    <x v="0"/>
  </r>
  <r>
    <x v="3"/>
    <x v="0"/>
    <x v="4"/>
    <x v="1"/>
    <n v="2729"/>
    <n v="250"/>
    <n v="125"/>
    <n v="1023375"/>
    <n v="6822.5"/>
    <x v="134"/>
    <n v="327480"/>
    <n v="689072.5"/>
    <x v="2"/>
    <n v="12"/>
    <s v="December"/>
    <x v="0"/>
  </r>
  <r>
    <x v="0"/>
    <x v="4"/>
    <x v="4"/>
    <x v="1"/>
    <n v="266"/>
    <n v="250"/>
    <n v="350"/>
    <n v="159600"/>
    <n v="1862"/>
    <x v="135"/>
    <n v="69160"/>
    <n v="88578"/>
    <x v="12"/>
    <n v="12"/>
    <s v="December"/>
    <x v="1"/>
  </r>
  <r>
    <x v="0"/>
    <x v="3"/>
    <x v="4"/>
    <x v="1"/>
    <n v="1940"/>
    <n v="250"/>
    <n v="350"/>
    <n v="1164000"/>
    <n v="13580"/>
    <x v="136"/>
    <n v="504400"/>
    <n v="646020"/>
    <x v="12"/>
    <n v="12"/>
    <s v="December"/>
    <x v="1"/>
  </r>
  <r>
    <x v="4"/>
    <x v="1"/>
    <x v="5"/>
    <x v="1"/>
    <n v="259"/>
    <n v="260"/>
    <n v="300"/>
    <n v="145040"/>
    <n v="1554"/>
    <x v="137"/>
    <n v="64750"/>
    <n v="78736"/>
    <x v="3"/>
    <n v="3"/>
    <s v="March"/>
    <x v="0"/>
  </r>
  <r>
    <x v="4"/>
    <x v="3"/>
    <x v="5"/>
    <x v="1"/>
    <n v="1101"/>
    <n v="260"/>
    <n v="300"/>
    <n v="616560"/>
    <n v="6606"/>
    <x v="138"/>
    <n v="275250"/>
    <n v="334704"/>
    <x v="3"/>
    <n v="3"/>
    <s v="March"/>
    <x v="0"/>
  </r>
  <r>
    <x v="3"/>
    <x v="1"/>
    <x v="5"/>
    <x v="1"/>
    <n v="2276"/>
    <n v="260"/>
    <n v="125"/>
    <n v="876260"/>
    <n v="5690"/>
    <x v="139"/>
    <n v="273120"/>
    <n v="597450"/>
    <x v="14"/>
    <n v="5"/>
    <s v="May"/>
    <x v="0"/>
  </r>
  <r>
    <x v="0"/>
    <x v="1"/>
    <x v="5"/>
    <x v="1"/>
    <n v="2966"/>
    <n v="260"/>
    <n v="350"/>
    <n v="1809260"/>
    <n v="20762"/>
    <x v="140"/>
    <n v="771160"/>
    <n v="1017338"/>
    <x v="7"/>
    <n v="10"/>
    <s v="October"/>
    <x v="1"/>
  </r>
  <r>
    <x v="0"/>
    <x v="4"/>
    <x v="5"/>
    <x v="1"/>
    <n v="1236"/>
    <n v="260"/>
    <n v="20"/>
    <n v="346080"/>
    <n v="494.4"/>
    <x v="141"/>
    <n v="12360"/>
    <n v="333225.59999999998"/>
    <x v="15"/>
    <n v="11"/>
    <s v="November"/>
    <x v="0"/>
  </r>
  <r>
    <x v="0"/>
    <x v="2"/>
    <x v="5"/>
    <x v="1"/>
    <n v="941"/>
    <n v="260"/>
    <n v="20"/>
    <n v="263480"/>
    <n v="376.4"/>
    <x v="142"/>
    <n v="9410"/>
    <n v="253693.59999999998"/>
    <x v="15"/>
    <n v="11"/>
    <s v="November"/>
    <x v="0"/>
  </r>
  <r>
    <x v="4"/>
    <x v="0"/>
    <x v="5"/>
    <x v="1"/>
    <n v="1916"/>
    <n v="260"/>
    <n v="300"/>
    <n v="1072960"/>
    <n v="11496"/>
    <x v="143"/>
    <n v="479000"/>
    <n v="582464"/>
    <x v="2"/>
    <n v="12"/>
    <s v="December"/>
    <x v="0"/>
  </r>
  <r>
    <x v="3"/>
    <x v="2"/>
    <x v="0"/>
    <x v="1"/>
    <n v="4243.5"/>
    <n v="3"/>
    <n v="125"/>
    <n v="543168"/>
    <n v="15913.125"/>
    <x v="144"/>
    <n v="509220"/>
    <n v="18034.875"/>
    <x v="13"/>
    <n v="4"/>
    <s v="April"/>
    <x v="0"/>
  </r>
  <r>
    <x v="0"/>
    <x v="1"/>
    <x v="0"/>
    <x v="1"/>
    <n v="2580"/>
    <n v="3"/>
    <n v="20"/>
    <n v="59340"/>
    <n v="1548"/>
    <x v="145"/>
    <n v="25800"/>
    <n v="31992"/>
    <x v="13"/>
    <n v="4"/>
    <s v="April"/>
    <x v="0"/>
  </r>
  <r>
    <x v="4"/>
    <x v="1"/>
    <x v="0"/>
    <x v="1"/>
    <n v="689"/>
    <n v="3"/>
    <n v="300"/>
    <n v="208767"/>
    <n v="6201"/>
    <x v="146"/>
    <n v="172250"/>
    <n v="30316"/>
    <x v="1"/>
    <n v="6"/>
    <s v="June"/>
    <x v="0"/>
  </r>
  <r>
    <x v="2"/>
    <x v="4"/>
    <x v="0"/>
    <x v="1"/>
    <n v="1947"/>
    <n v="3"/>
    <n v="12"/>
    <n v="29205"/>
    <n v="700.92"/>
    <x v="147"/>
    <n v="5841"/>
    <n v="22663.08"/>
    <x v="6"/>
    <n v="9"/>
    <s v="September"/>
    <x v="0"/>
  </r>
  <r>
    <x v="2"/>
    <x v="0"/>
    <x v="0"/>
    <x v="1"/>
    <n v="908"/>
    <n v="3"/>
    <n v="12"/>
    <n v="13620"/>
    <n v="326.88"/>
    <x v="148"/>
    <n v="2724"/>
    <n v="10569.12"/>
    <x v="12"/>
    <n v="12"/>
    <s v="December"/>
    <x v="1"/>
  </r>
  <r>
    <x v="0"/>
    <x v="1"/>
    <x v="1"/>
    <x v="1"/>
    <n v="1958"/>
    <n v="5"/>
    <n v="7"/>
    <n v="23496"/>
    <n v="411.18"/>
    <x v="149"/>
    <n v="9790"/>
    <n v="13294.82"/>
    <x v="8"/>
    <n v="2"/>
    <s v="February"/>
    <x v="0"/>
  </r>
  <r>
    <x v="2"/>
    <x v="2"/>
    <x v="1"/>
    <x v="1"/>
    <n v="1901"/>
    <n v="5"/>
    <n v="12"/>
    <n v="32317"/>
    <n v="684.36"/>
    <x v="150"/>
    <n v="5703"/>
    <n v="25929.64"/>
    <x v="1"/>
    <n v="6"/>
    <s v="June"/>
    <x v="0"/>
  </r>
  <r>
    <x v="0"/>
    <x v="2"/>
    <x v="1"/>
    <x v="1"/>
    <n v="544"/>
    <n v="5"/>
    <n v="7"/>
    <n v="6528"/>
    <n v="114.24"/>
    <x v="151"/>
    <n v="2720"/>
    <n v="3693.76"/>
    <x v="6"/>
    <n v="9"/>
    <s v="September"/>
    <x v="0"/>
  </r>
  <r>
    <x v="0"/>
    <x v="1"/>
    <x v="1"/>
    <x v="1"/>
    <n v="1797"/>
    <n v="5"/>
    <n v="350"/>
    <n v="637935"/>
    <n v="18868.5"/>
    <x v="152"/>
    <n v="467220"/>
    <n v="151846.5"/>
    <x v="9"/>
    <n v="9"/>
    <s v="September"/>
    <x v="1"/>
  </r>
  <r>
    <x v="3"/>
    <x v="2"/>
    <x v="1"/>
    <x v="1"/>
    <n v="1287"/>
    <n v="5"/>
    <n v="125"/>
    <n v="167310"/>
    <n v="4826.25"/>
    <x v="153"/>
    <n v="154440"/>
    <n v="8043.75"/>
    <x v="2"/>
    <n v="12"/>
    <s v="December"/>
    <x v="0"/>
  </r>
  <r>
    <x v="3"/>
    <x v="1"/>
    <x v="1"/>
    <x v="1"/>
    <n v="1706"/>
    <n v="5"/>
    <n v="125"/>
    <n v="221780"/>
    <n v="6397.5"/>
    <x v="154"/>
    <n v="204720"/>
    <n v="10662.5"/>
    <x v="2"/>
    <n v="12"/>
    <s v="December"/>
    <x v="0"/>
  </r>
  <r>
    <x v="4"/>
    <x v="2"/>
    <x v="2"/>
    <x v="1"/>
    <n v="2434.5"/>
    <n v="10"/>
    <n v="300"/>
    <n v="754695"/>
    <n v="21910.5"/>
    <x v="155"/>
    <n v="608625"/>
    <n v="124159.5"/>
    <x v="0"/>
    <n v="1"/>
    <s v="January"/>
    <x v="0"/>
  </r>
  <r>
    <x v="3"/>
    <x v="0"/>
    <x v="2"/>
    <x v="1"/>
    <n v="1774"/>
    <n v="10"/>
    <n v="125"/>
    <n v="239490"/>
    <n v="6652.5"/>
    <x v="156"/>
    <n v="212880"/>
    <n v="19957.5"/>
    <x v="3"/>
    <n v="3"/>
    <s v="March"/>
    <x v="0"/>
  </r>
  <r>
    <x v="2"/>
    <x v="2"/>
    <x v="2"/>
    <x v="1"/>
    <n v="1901"/>
    <n v="10"/>
    <n v="12"/>
    <n v="41822"/>
    <n v="684.36"/>
    <x v="157"/>
    <n v="5703"/>
    <n v="35434.639999999999"/>
    <x v="1"/>
    <n v="6"/>
    <s v="June"/>
    <x v="0"/>
  </r>
  <r>
    <x v="4"/>
    <x v="1"/>
    <x v="2"/>
    <x v="1"/>
    <n v="689"/>
    <n v="10"/>
    <n v="300"/>
    <n v="213590"/>
    <n v="6201"/>
    <x v="158"/>
    <n v="172250"/>
    <n v="35139"/>
    <x v="1"/>
    <n v="6"/>
    <s v="June"/>
    <x v="0"/>
  </r>
  <r>
    <x v="3"/>
    <x v="1"/>
    <x v="2"/>
    <x v="1"/>
    <n v="1570"/>
    <n v="10"/>
    <n v="125"/>
    <n v="211950"/>
    <n v="5887.5"/>
    <x v="159"/>
    <n v="188400"/>
    <n v="17662.5"/>
    <x v="1"/>
    <n v="6"/>
    <s v="June"/>
    <x v="0"/>
  </r>
  <r>
    <x v="2"/>
    <x v="4"/>
    <x v="2"/>
    <x v="1"/>
    <n v="1369.5"/>
    <n v="10"/>
    <n v="12"/>
    <n v="30129"/>
    <n v="493.02"/>
    <x v="160"/>
    <n v="4108.5"/>
    <n v="25527.48"/>
    <x v="4"/>
    <n v="7"/>
    <s v="July"/>
    <x v="0"/>
  </r>
  <r>
    <x v="3"/>
    <x v="0"/>
    <x v="2"/>
    <x v="1"/>
    <n v="2009"/>
    <n v="10"/>
    <n v="125"/>
    <n v="271215"/>
    <n v="7533.75"/>
    <x v="161"/>
    <n v="241080"/>
    <n v="22601.25"/>
    <x v="10"/>
    <n v="10"/>
    <s v="October"/>
    <x v="0"/>
  </r>
  <r>
    <x v="1"/>
    <x v="1"/>
    <x v="2"/>
    <x v="1"/>
    <n v="1945"/>
    <n v="10"/>
    <n v="15"/>
    <n v="48625"/>
    <n v="875.25"/>
    <x v="162"/>
    <n v="19450"/>
    <n v="28299.75"/>
    <x v="7"/>
    <n v="10"/>
    <s v="October"/>
    <x v="1"/>
  </r>
  <r>
    <x v="3"/>
    <x v="2"/>
    <x v="2"/>
    <x v="1"/>
    <n v="1287"/>
    <n v="10"/>
    <n v="125"/>
    <n v="173745"/>
    <n v="4826.25"/>
    <x v="163"/>
    <n v="154440"/>
    <n v="14478.75"/>
    <x v="2"/>
    <n v="12"/>
    <s v="December"/>
    <x v="0"/>
  </r>
  <r>
    <x v="3"/>
    <x v="1"/>
    <x v="2"/>
    <x v="1"/>
    <n v="1706"/>
    <n v="10"/>
    <n v="125"/>
    <n v="230310"/>
    <n v="6397.5"/>
    <x v="164"/>
    <n v="204720"/>
    <n v="19192.5"/>
    <x v="2"/>
    <n v="12"/>
    <s v="December"/>
    <x v="0"/>
  </r>
  <r>
    <x v="3"/>
    <x v="0"/>
    <x v="3"/>
    <x v="1"/>
    <n v="2009"/>
    <n v="120"/>
    <n v="125"/>
    <n v="492205"/>
    <n v="7533.75"/>
    <x v="165"/>
    <n v="241080"/>
    <n v="243591.25"/>
    <x v="10"/>
    <n v="10"/>
    <s v="October"/>
    <x v="0"/>
  </r>
  <r>
    <x v="4"/>
    <x v="4"/>
    <x v="4"/>
    <x v="1"/>
    <n v="2844"/>
    <n v="250"/>
    <n v="300"/>
    <n v="1564200"/>
    <n v="25596"/>
    <x v="166"/>
    <n v="711000"/>
    <n v="827604"/>
    <x v="8"/>
    <n v="2"/>
    <s v="February"/>
    <x v="0"/>
  </r>
  <r>
    <x v="2"/>
    <x v="3"/>
    <x v="4"/>
    <x v="1"/>
    <n v="1916"/>
    <n v="250"/>
    <n v="12"/>
    <n v="501992"/>
    <n v="689.76"/>
    <x v="167"/>
    <n v="5748"/>
    <n v="495554.24"/>
    <x v="13"/>
    <n v="4"/>
    <s v="April"/>
    <x v="0"/>
  </r>
  <r>
    <x v="3"/>
    <x v="1"/>
    <x v="4"/>
    <x v="1"/>
    <n v="1570"/>
    <n v="250"/>
    <n v="125"/>
    <n v="588750"/>
    <n v="5887.5"/>
    <x v="168"/>
    <n v="188400"/>
    <n v="394462.5"/>
    <x v="1"/>
    <n v="6"/>
    <s v="June"/>
    <x v="0"/>
  </r>
  <r>
    <x v="4"/>
    <x v="0"/>
    <x v="4"/>
    <x v="1"/>
    <n v="1874"/>
    <n v="250"/>
    <n v="300"/>
    <n v="1030700"/>
    <n v="16866"/>
    <x v="169"/>
    <n v="468500"/>
    <n v="545334"/>
    <x v="5"/>
    <n v="8"/>
    <s v="August"/>
    <x v="0"/>
  </r>
  <r>
    <x v="0"/>
    <x v="3"/>
    <x v="4"/>
    <x v="1"/>
    <n v="1642"/>
    <n v="250"/>
    <n v="350"/>
    <n v="985200"/>
    <n v="17241"/>
    <x v="170"/>
    <n v="426920"/>
    <n v="541039"/>
    <x v="5"/>
    <n v="8"/>
    <s v="August"/>
    <x v="0"/>
  </r>
  <r>
    <x v="1"/>
    <x v="1"/>
    <x v="4"/>
    <x v="1"/>
    <n v="1945"/>
    <n v="250"/>
    <n v="15"/>
    <n v="515425"/>
    <n v="875.25"/>
    <x v="171"/>
    <n v="19450"/>
    <n v="495099.75"/>
    <x v="7"/>
    <n v="10"/>
    <s v="October"/>
    <x v="1"/>
  </r>
  <r>
    <x v="0"/>
    <x v="0"/>
    <x v="0"/>
    <x v="1"/>
    <n v="831"/>
    <n v="3"/>
    <n v="20"/>
    <n v="19113"/>
    <n v="498.6"/>
    <x v="172"/>
    <n v="8310"/>
    <n v="10304.400000000001"/>
    <x v="14"/>
    <n v="5"/>
    <s v="May"/>
    <x v="0"/>
  </r>
  <r>
    <x v="0"/>
    <x v="3"/>
    <x v="2"/>
    <x v="1"/>
    <n v="1760"/>
    <n v="10"/>
    <n v="7"/>
    <n v="29920"/>
    <n v="369.6"/>
    <x v="173"/>
    <n v="8800"/>
    <n v="20750.400000000001"/>
    <x v="9"/>
    <n v="9"/>
    <s v="September"/>
    <x v="1"/>
  </r>
  <r>
    <x v="0"/>
    <x v="0"/>
    <x v="3"/>
    <x v="1"/>
    <n v="3850.5"/>
    <n v="120"/>
    <n v="20"/>
    <n v="539070"/>
    <n v="2310.3000000000002"/>
    <x v="174"/>
    <n v="38505"/>
    <n v="498254.69999999995"/>
    <x v="13"/>
    <n v="4"/>
    <s v="April"/>
    <x v="0"/>
  </r>
  <r>
    <x v="2"/>
    <x v="1"/>
    <x v="4"/>
    <x v="1"/>
    <n v="2479"/>
    <n v="250"/>
    <n v="12"/>
    <n v="649498"/>
    <n v="892.44"/>
    <x v="175"/>
    <n v="7437"/>
    <n v="641168.56000000006"/>
    <x v="0"/>
    <n v="1"/>
    <s v="January"/>
    <x v="0"/>
  </r>
  <r>
    <x v="1"/>
    <x v="3"/>
    <x v="1"/>
    <x v="1"/>
    <n v="2031"/>
    <n v="5"/>
    <n v="15"/>
    <n v="40620"/>
    <n v="1218.5999999999999"/>
    <x v="176"/>
    <n v="20310"/>
    <n v="19091.400000000001"/>
    <x v="10"/>
    <n v="10"/>
    <s v="October"/>
    <x v="0"/>
  </r>
  <r>
    <x v="1"/>
    <x v="3"/>
    <x v="2"/>
    <x v="1"/>
    <n v="2031"/>
    <n v="10"/>
    <n v="15"/>
    <n v="50775"/>
    <n v="1218.5999999999999"/>
    <x v="177"/>
    <n v="20310"/>
    <n v="29246.400000000001"/>
    <x v="10"/>
    <n v="10"/>
    <s v="October"/>
    <x v="0"/>
  </r>
  <r>
    <x v="1"/>
    <x v="2"/>
    <x v="2"/>
    <x v="1"/>
    <n v="2261"/>
    <n v="10"/>
    <n v="15"/>
    <n v="56525"/>
    <n v="1356.6"/>
    <x v="178"/>
    <n v="22610"/>
    <n v="32558.400000000001"/>
    <x v="12"/>
    <n v="12"/>
    <s v="December"/>
    <x v="1"/>
  </r>
  <r>
    <x v="0"/>
    <x v="4"/>
    <x v="3"/>
    <x v="1"/>
    <n v="736"/>
    <n v="120"/>
    <n v="20"/>
    <n v="103040"/>
    <n v="588.79999999999995"/>
    <x v="179"/>
    <n v="7360"/>
    <n v="95091.199999999997"/>
    <x v="9"/>
    <n v="9"/>
    <s v="September"/>
    <x v="1"/>
  </r>
  <r>
    <x v="0"/>
    <x v="0"/>
    <x v="0"/>
    <x v="1"/>
    <n v="2851"/>
    <n v="3"/>
    <n v="7"/>
    <n v="28510"/>
    <n v="798.28"/>
    <x v="180"/>
    <n v="14255"/>
    <n v="13456.720000000001"/>
    <x v="7"/>
    <n v="10"/>
    <s v="October"/>
    <x v="1"/>
  </r>
  <r>
    <x v="4"/>
    <x v="1"/>
    <x v="0"/>
    <x v="1"/>
    <n v="2021"/>
    <n v="3"/>
    <n v="300"/>
    <n v="612363"/>
    <n v="24252"/>
    <x v="181"/>
    <n v="505250"/>
    <n v="82861"/>
    <x v="10"/>
    <n v="10"/>
    <s v="October"/>
    <x v="0"/>
  </r>
  <r>
    <x v="0"/>
    <x v="4"/>
    <x v="0"/>
    <x v="1"/>
    <n v="274"/>
    <n v="3"/>
    <n v="350"/>
    <n v="96722"/>
    <n v="3836"/>
    <x v="182"/>
    <n v="71240"/>
    <n v="21646"/>
    <x v="2"/>
    <n v="12"/>
    <s v="December"/>
    <x v="0"/>
  </r>
  <r>
    <x v="1"/>
    <x v="0"/>
    <x v="1"/>
    <x v="1"/>
    <n v="1967"/>
    <n v="5"/>
    <n v="15"/>
    <n v="39340"/>
    <n v="1180.2"/>
    <x v="183"/>
    <n v="19670"/>
    <n v="18489.800000000003"/>
    <x v="3"/>
    <n v="3"/>
    <s v="March"/>
    <x v="0"/>
  </r>
  <r>
    <x v="4"/>
    <x v="1"/>
    <x v="1"/>
    <x v="1"/>
    <n v="1859"/>
    <n v="5"/>
    <n v="300"/>
    <n v="566995"/>
    <n v="22308"/>
    <x v="184"/>
    <n v="464750"/>
    <n v="79937"/>
    <x v="5"/>
    <n v="8"/>
    <s v="August"/>
    <x v="0"/>
  </r>
  <r>
    <x v="0"/>
    <x v="0"/>
    <x v="1"/>
    <x v="1"/>
    <n v="2851"/>
    <n v="5"/>
    <n v="7"/>
    <n v="34212"/>
    <n v="798.28"/>
    <x v="185"/>
    <n v="14255"/>
    <n v="19158.72"/>
    <x v="7"/>
    <n v="10"/>
    <s v="October"/>
    <x v="1"/>
  </r>
  <r>
    <x v="4"/>
    <x v="1"/>
    <x v="1"/>
    <x v="1"/>
    <n v="2021"/>
    <n v="5"/>
    <n v="300"/>
    <n v="616405"/>
    <n v="24252"/>
    <x v="186"/>
    <n v="505250"/>
    <n v="86903"/>
    <x v="10"/>
    <n v="10"/>
    <s v="October"/>
    <x v="0"/>
  </r>
  <r>
    <x v="3"/>
    <x v="3"/>
    <x v="1"/>
    <x v="1"/>
    <n v="1138"/>
    <n v="5"/>
    <n v="125"/>
    <n v="147940"/>
    <n v="5690"/>
    <x v="187"/>
    <n v="136560"/>
    <n v="5690"/>
    <x v="2"/>
    <n v="12"/>
    <s v="December"/>
    <x v="0"/>
  </r>
  <r>
    <x v="0"/>
    <x v="0"/>
    <x v="2"/>
    <x v="1"/>
    <n v="4251"/>
    <n v="10"/>
    <n v="7"/>
    <n v="72267"/>
    <n v="1190.28"/>
    <x v="188"/>
    <n v="21255"/>
    <n v="49821.72"/>
    <x v="0"/>
    <n v="1"/>
    <s v="January"/>
    <x v="0"/>
  </r>
  <r>
    <x v="3"/>
    <x v="1"/>
    <x v="2"/>
    <x v="1"/>
    <n v="795"/>
    <n v="10"/>
    <n v="125"/>
    <n v="107325"/>
    <n v="3975"/>
    <x v="189"/>
    <n v="95400"/>
    <n v="7950"/>
    <x v="3"/>
    <n v="3"/>
    <s v="March"/>
    <x v="0"/>
  </r>
  <r>
    <x v="4"/>
    <x v="1"/>
    <x v="2"/>
    <x v="1"/>
    <n v="1414.5"/>
    <n v="10"/>
    <n v="300"/>
    <n v="438495"/>
    <n v="16974"/>
    <x v="190"/>
    <n v="353625"/>
    <n v="67896"/>
    <x v="13"/>
    <n v="4"/>
    <s v="April"/>
    <x v="0"/>
  </r>
  <r>
    <x v="4"/>
    <x v="4"/>
    <x v="2"/>
    <x v="1"/>
    <n v="2918"/>
    <n v="10"/>
    <n v="300"/>
    <n v="904580"/>
    <n v="35016"/>
    <x v="191"/>
    <n v="729500"/>
    <n v="140064"/>
    <x v="14"/>
    <n v="5"/>
    <s v="May"/>
    <x v="0"/>
  </r>
  <r>
    <x v="0"/>
    <x v="4"/>
    <x v="2"/>
    <x v="1"/>
    <n v="3450"/>
    <n v="10"/>
    <n v="350"/>
    <n v="1242000"/>
    <n v="48300"/>
    <x v="192"/>
    <n v="897000"/>
    <n v="296700"/>
    <x v="4"/>
    <n v="7"/>
    <s v="July"/>
    <x v="0"/>
  </r>
  <r>
    <x v="3"/>
    <x v="2"/>
    <x v="2"/>
    <x v="1"/>
    <n v="2988"/>
    <n v="10"/>
    <n v="125"/>
    <n v="403380"/>
    <n v="14940"/>
    <x v="193"/>
    <n v="358560"/>
    <n v="29880"/>
    <x v="4"/>
    <n v="7"/>
    <s v="July"/>
    <x v="0"/>
  </r>
  <r>
    <x v="1"/>
    <x v="0"/>
    <x v="2"/>
    <x v="1"/>
    <n v="218"/>
    <n v="10"/>
    <n v="15"/>
    <n v="5450"/>
    <n v="130.80000000000001"/>
    <x v="194"/>
    <n v="2180"/>
    <n v="3139.2"/>
    <x v="6"/>
    <n v="9"/>
    <s v="September"/>
    <x v="0"/>
  </r>
  <r>
    <x v="0"/>
    <x v="0"/>
    <x v="2"/>
    <x v="1"/>
    <n v="2074"/>
    <n v="10"/>
    <n v="20"/>
    <n v="62220"/>
    <n v="1659.2"/>
    <x v="195"/>
    <n v="20740"/>
    <n v="39820.800000000003"/>
    <x v="6"/>
    <n v="9"/>
    <s v="September"/>
    <x v="0"/>
  </r>
  <r>
    <x v="0"/>
    <x v="4"/>
    <x v="2"/>
    <x v="1"/>
    <n v="1056"/>
    <n v="10"/>
    <n v="20"/>
    <n v="31680"/>
    <n v="844.8"/>
    <x v="196"/>
    <n v="10560"/>
    <n v="20275.2"/>
    <x v="6"/>
    <n v="9"/>
    <s v="September"/>
    <x v="0"/>
  </r>
  <r>
    <x v="1"/>
    <x v="4"/>
    <x v="2"/>
    <x v="1"/>
    <n v="671"/>
    <n v="10"/>
    <n v="15"/>
    <n v="16775"/>
    <n v="402.6"/>
    <x v="197"/>
    <n v="6710"/>
    <n v="9662.4"/>
    <x v="7"/>
    <n v="10"/>
    <s v="October"/>
    <x v="1"/>
  </r>
  <r>
    <x v="1"/>
    <x v="3"/>
    <x v="2"/>
    <x v="1"/>
    <n v="1514"/>
    <n v="10"/>
    <n v="15"/>
    <n v="37850"/>
    <n v="908.4"/>
    <x v="198"/>
    <n v="15140"/>
    <n v="21801.599999999999"/>
    <x v="7"/>
    <n v="10"/>
    <s v="October"/>
    <x v="1"/>
  </r>
  <r>
    <x v="0"/>
    <x v="4"/>
    <x v="2"/>
    <x v="1"/>
    <n v="274"/>
    <n v="10"/>
    <n v="350"/>
    <n v="98640"/>
    <n v="3836"/>
    <x v="199"/>
    <n v="71240"/>
    <n v="23564"/>
    <x v="2"/>
    <n v="12"/>
    <s v="December"/>
    <x v="0"/>
  </r>
  <r>
    <x v="3"/>
    <x v="3"/>
    <x v="2"/>
    <x v="1"/>
    <n v="1138"/>
    <n v="10"/>
    <n v="125"/>
    <n v="153630"/>
    <n v="5690"/>
    <x v="200"/>
    <n v="136560"/>
    <n v="11380"/>
    <x v="2"/>
    <n v="12"/>
    <s v="December"/>
    <x v="0"/>
  </r>
  <r>
    <x v="2"/>
    <x v="4"/>
    <x v="3"/>
    <x v="1"/>
    <n v="1465"/>
    <n v="120"/>
    <n v="12"/>
    <n v="193380"/>
    <n v="703.2"/>
    <x v="201"/>
    <n v="4395"/>
    <n v="188281.8"/>
    <x v="3"/>
    <n v="3"/>
    <s v="March"/>
    <x v="0"/>
  </r>
  <r>
    <x v="0"/>
    <x v="0"/>
    <x v="3"/>
    <x v="1"/>
    <n v="2646"/>
    <n v="120"/>
    <n v="20"/>
    <n v="370440"/>
    <n v="2116.8000000000002"/>
    <x v="202"/>
    <n v="26460"/>
    <n v="341863.2"/>
    <x v="9"/>
    <n v="9"/>
    <s v="September"/>
    <x v="1"/>
  </r>
  <r>
    <x v="0"/>
    <x v="2"/>
    <x v="3"/>
    <x v="1"/>
    <n v="2177"/>
    <n v="120"/>
    <n v="350"/>
    <n v="1023190"/>
    <n v="30478"/>
    <x v="203"/>
    <n v="566020"/>
    <n v="426692"/>
    <x v="10"/>
    <n v="10"/>
    <s v="October"/>
    <x v="0"/>
  </r>
  <r>
    <x v="2"/>
    <x v="2"/>
    <x v="4"/>
    <x v="1"/>
    <n v="866"/>
    <n v="250"/>
    <n v="12"/>
    <n v="226892"/>
    <n v="415.68"/>
    <x v="204"/>
    <n v="2598"/>
    <n v="223878.32"/>
    <x v="14"/>
    <n v="5"/>
    <s v="May"/>
    <x v="0"/>
  </r>
  <r>
    <x v="0"/>
    <x v="4"/>
    <x v="4"/>
    <x v="1"/>
    <n v="349"/>
    <n v="250"/>
    <n v="350"/>
    <n v="209400"/>
    <n v="4886"/>
    <x v="205"/>
    <n v="90740"/>
    <n v="113774"/>
    <x v="9"/>
    <n v="9"/>
    <s v="September"/>
    <x v="1"/>
  </r>
  <r>
    <x v="0"/>
    <x v="2"/>
    <x v="4"/>
    <x v="1"/>
    <n v="2177"/>
    <n v="250"/>
    <n v="350"/>
    <n v="1306200"/>
    <n v="30478"/>
    <x v="206"/>
    <n v="566020"/>
    <n v="709702"/>
    <x v="10"/>
    <n v="10"/>
    <s v="October"/>
    <x v="0"/>
  </r>
  <r>
    <x v="1"/>
    <x v="3"/>
    <x v="4"/>
    <x v="1"/>
    <n v="1514"/>
    <n v="250"/>
    <n v="15"/>
    <n v="401210"/>
    <n v="908.4"/>
    <x v="207"/>
    <n v="15140"/>
    <n v="385161.6"/>
    <x v="7"/>
    <n v="10"/>
    <s v="October"/>
    <x v="1"/>
  </r>
  <r>
    <x v="0"/>
    <x v="3"/>
    <x v="5"/>
    <x v="1"/>
    <n v="1865"/>
    <n v="260"/>
    <n v="350"/>
    <n v="1137650"/>
    <n v="26110"/>
    <x v="208"/>
    <n v="484900"/>
    <n v="626640"/>
    <x v="8"/>
    <n v="2"/>
    <s v="February"/>
    <x v="0"/>
  </r>
  <r>
    <x v="3"/>
    <x v="3"/>
    <x v="5"/>
    <x v="1"/>
    <n v="1074"/>
    <n v="260"/>
    <n v="125"/>
    <n v="413490"/>
    <n v="5370"/>
    <x v="209"/>
    <n v="128880"/>
    <n v="279240"/>
    <x v="13"/>
    <n v="4"/>
    <s v="April"/>
    <x v="0"/>
  </r>
  <r>
    <x v="0"/>
    <x v="1"/>
    <x v="5"/>
    <x v="1"/>
    <n v="1907"/>
    <n v="260"/>
    <n v="350"/>
    <n v="1163270"/>
    <n v="26698"/>
    <x v="210"/>
    <n v="495820"/>
    <n v="640752"/>
    <x v="6"/>
    <n v="9"/>
    <s v="September"/>
    <x v="0"/>
  </r>
  <r>
    <x v="1"/>
    <x v="4"/>
    <x v="5"/>
    <x v="1"/>
    <n v="671"/>
    <n v="260"/>
    <n v="15"/>
    <n v="184525"/>
    <n v="402.6"/>
    <x v="211"/>
    <n v="6710"/>
    <n v="177412.4"/>
    <x v="7"/>
    <n v="10"/>
    <s v="October"/>
    <x v="1"/>
  </r>
  <r>
    <x v="0"/>
    <x v="0"/>
    <x v="5"/>
    <x v="1"/>
    <n v="1778"/>
    <n v="260"/>
    <n v="350"/>
    <n v="1084580"/>
    <n v="24892"/>
    <x v="212"/>
    <n v="462280"/>
    <n v="597408"/>
    <x v="12"/>
    <n v="12"/>
    <s v="December"/>
    <x v="1"/>
  </r>
  <r>
    <x v="0"/>
    <x v="1"/>
    <x v="1"/>
    <x v="2"/>
    <n v="1159"/>
    <n v="5"/>
    <n v="7"/>
    <n v="13908"/>
    <n v="405.65"/>
    <x v="213"/>
    <n v="5795"/>
    <n v="7707.35"/>
    <x v="7"/>
    <n v="10"/>
    <s v="October"/>
    <x v="1"/>
  </r>
  <r>
    <x v="0"/>
    <x v="1"/>
    <x v="2"/>
    <x v="2"/>
    <n v="1372"/>
    <n v="10"/>
    <n v="7"/>
    <n v="23324"/>
    <n v="480.2"/>
    <x v="214"/>
    <n v="6860"/>
    <n v="15983.8"/>
    <x v="0"/>
    <n v="1"/>
    <s v="January"/>
    <x v="0"/>
  </r>
  <r>
    <x v="0"/>
    <x v="0"/>
    <x v="2"/>
    <x v="2"/>
    <n v="2349"/>
    <n v="10"/>
    <n v="7"/>
    <n v="39933"/>
    <n v="822.15"/>
    <x v="215"/>
    <n v="11745"/>
    <n v="27365.85"/>
    <x v="9"/>
    <n v="9"/>
    <s v="September"/>
    <x v="1"/>
  </r>
  <r>
    <x v="0"/>
    <x v="3"/>
    <x v="2"/>
    <x v="2"/>
    <n v="2689"/>
    <n v="10"/>
    <n v="7"/>
    <n v="45713"/>
    <n v="941.15"/>
    <x v="216"/>
    <n v="13445"/>
    <n v="31326.85"/>
    <x v="10"/>
    <n v="10"/>
    <s v="October"/>
    <x v="0"/>
  </r>
  <r>
    <x v="2"/>
    <x v="0"/>
    <x v="2"/>
    <x v="2"/>
    <n v="2431"/>
    <n v="10"/>
    <n v="12"/>
    <n v="53482"/>
    <n v="1458.6"/>
    <x v="217"/>
    <n v="7293"/>
    <n v="44730.400000000001"/>
    <x v="2"/>
    <n v="12"/>
    <s v="December"/>
    <x v="0"/>
  </r>
  <r>
    <x v="2"/>
    <x v="0"/>
    <x v="3"/>
    <x v="2"/>
    <n v="2431"/>
    <n v="120"/>
    <n v="12"/>
    <n v="320892"/>
    <n v="1458.6"/>
    <x v="218"/>
    <n v="7293"/>
    <n v="312140.40000000002"/>
    <x v="2"/>
    <n v="12"/>
    <s v="December"/>
    <x v="0"/>
  </r>
  <r>
    <x v="0"/>
    <x v="3"/>
    <x v="4"/>
    <x v="2"/>
    <n v="2689"/>
    <n v="250"/>
    <n v="7"/>
    <n v="691073"/>
    <n v="941.15"/>
    <x v="219"/>
    <n v="13445"/>
    <n v="676686.85"/>
    <x v="10"/>
    <n v="10"/>
    <s v="October"/>
    <x v="0"/>
  </r>
  <r>
    <x v="0"/>
    <x v="3"/>
    <x v="5"/>
    <x v="2"/>
    <n v="1683"/>
    <n v="260"/>
    <n v="7"/>
    <n v="449361"/>
    <n v="589.04999999999995"/>
    <x v="220"/>
    <n v="8415"/>
    <n v="440356.95"/>
    <x v="4"/>
    <n v="7"/>
    <s v="July"/>
    <x v="0"/>
  </r>
  <r>
    <x v="2"/>
    <x v="3"/>
    <x v="5"/>
    <x v="2"/>
    <n v="1123"/>
    <n v="260"/>
    <n v="12"/>
    <n v="305456"/>
    <n v="673.8"/>
    <x v="221"/>
    <n v="3369"/>
    <n v="301413.2"/>
    <x v="5"/>
    <n v="8"/>
    <s v="August"/>
    <x v="0"/>
  </r>
  <r>
    <x v="0"/>
    <x v="1"/>
    <x v="5"/>
    <x v="2"/>
    <n v="1159"/>
    <n v="260"/>
    <n v="7"/>
    <n v="309453"/>
    <n v="405.65"/>
    <x v="222"/>
    <n v="5795"/>
    <n v="303252.34999999998"/>
    <x v="7"/>
    <n v="10"/>
    <s v="October"/>
    <x v="1"/>
  </r>
  <r>
    <x v="2"/>
    <x v="2"/>
    <x v="0"/>
    <x v="2"/>
    <n v="1865"/>
    <n v="3"/>
    <n v="12"/>
    <n v="27975"/>
    <n v="1119"/>
    <x v="223"/>
    <n v="5595"/>
    <n v="21261"/>
    <x v="8"/>
    <n v="2"/>
    <s v="February"/>
    <x v="0"/>
  </r>
  <r>
    <x v="2"/>
    <x v="1"/>
    <x v="0"/>
    <x v="2"/>
    <n v="1116"/>
    <n v="3"/>
    <n v="12"/>
    <n v="16740"/>
    <n v="669.6"/>
    <x v="224"/>
    <n v="3348"/>
    <n v="12722.4"/>
    <x v="8"/>
    <n v="2"/>
    <s v="February"/>
    <x v="0"/>
  </r>
  <r>
    <x v="0"/>
    <x v="2"/>
    <x v="0"/>
    <x v="2"/>
    <n v="1563"/>
    <n v="3"/>
    <n v="20"/>
    <n v="35949"/>
    <n v="1563"/>
    <x v="225"/>
    <n v="15630"/>
    <n v="18756"/>
    <x v="14"/>
    <n v="5"/>
    <s v="May"/>
    <x v="0"/>
  </r>
  <r>
    <x v="4"/>
    <x v="4"/>
    <x v="0"/>
    <x v="2"/>
    <n v="991"/>
    <n v="3"/>
    <n v="300"/>
    <n v="300273"/>
    <n v="14865"/>
    <x v="226"/>
    <n v="247750"/>
    <n v="37658"/>
    <x v="1"/>
    <n v="6"/>
    <s v="June"/>
    <x v="0"/>
  </r>
  <r>
    <x v="0"/>
    <x v="1"/>
    <x v="0"/>
    <x v="2"/>
    <n v="1016"/>
    <n v="3"/>
    <n v="7"/>
    <n v="10160"/>
    <n v="355.6"/>
    <x v="227"/>
    <n v="5080"/>
    <n v="4724.3999999999996"/>
    <x v="11"/>
    <n v="11"/>
    <s v="November"/>
    <x v="1"/>
  </r>
  <r>
    <x v="1"/>
    <x v="3"/>
    <x v="0"/>
    <x v="2"/>
    <n v="2791"/>
    <n v="3"/>
    <n v="15"/>
    <n v="50238"/>
    <n v="2093.25"/>
    <x v="228"/>
    <n v="27910"/>
    <n v="20234.75"/>
    <x v="15"/>
    <n v="11"/>
    <s v="November"/>
    <x v="0"/>
  </r>
  <r>
    <x v="0"/>
    <x v="4"/>
    <x v="0"/>
    <x v="2"/>
    <n v="570"/>
    <n v="3"/>
    <n v="7"/>
    <n v="5700"/>
    <n v="199.5"/>
    <x v="229"/>
    <n v="2850"/>
    <n v="2650.5"/>
    <x v="2"/>
    <n v="12"/>
    <s v="December"/>
    <x v="0"/>
  </r>
  <r>
    <x v="0"/>
    <x v="2"/>
    <x v="0"/>
    <x v="2"/>
    <n v="2487"/>
    <n v="3"/>
    <n v="7"/>
    <n v="24870"/>
    <n v="870.45"/>
    <x v="230"/>
    <n v="12435"/>
    <n v="11564.55"/>
    <x v="2"/>
    <n v="12"/>
    <s v="December"/>
    <x v="0"/>
  </r>
  <r>
    <x v="0"/>
    <x v="2"/>
    <x v="1"/>
    <x v="2"/>
    <n v="1384.5"/>
    <n v="5"/>
    <n v="350"/>
    <n v="491497.5"/>
    <n v="24228.75"/>
    <x v="231"/>
    <n v="359970"/>
    <n v="107298.75"/>
    <x v="0"/>
    <n v="1"/>
    <s v="January"/>
    <x v="0"/>
  </r>
  <r>
    <x v="3"/>
    <x v="4"/>
    <x v="1"/>
    <x v="2"/>
    <n v="3627"/>
    <n v="5"/>
    <n v="125"/>
    <n v="471510"/>
    <n v="22668.75"/>
    <x v="232"/>
    <n v="435240"/>
    <n v="13601.25"/>
    <x v="4"/>
    <n v="7"/>
    <s v="July"/>
    <x v="0"/>
  </r>
  <r>
    <x v="0"/>
    <x v="3"/>
    <x v="1"/>
    <x v="2"/>
    <n v="720"/>
    <n v="5"/>
    <n v="350"/>
    <n v="255600"/>
    <n v="12600"/>
    <x v="233"/>
    <n v="187200"/>
    <n v="55800"/>
    <x v="9"/>
    <n v="9"/>
    <s v="September"/>
    <x v="1"/>
  </r>
  <r>
    <x v="2"/>
    <x v="1"/>
    <x v="1"/>
    <x v="2"/>
    <n v="2342"/>
    <n v="5"/>
    <n v="12"/>
    <n v="39814"/>
    <n v="1405.2"/>
    <x v="234"/>
    <n v="7026"/>
    <n v="31382.800000000003"/>
    <x v="15"/>
    <n v="11"/>
    <s v="November"/>
    <x v="0"/>
  </r>
  <r>
    <x v="4"/>
    <x v="3"/>
    <x v="1"/>
    <x v="2"/>
    <n v="1100"/>
    <n v="5"/>
    <n v="300"/>
    <n v="335500"/>
    <n v="16500"/>
    <x v="235"/>
    <n v="275000"/>
    <n v="44000"/>
    <x v="12"/>
    <n v="12"/>
    <s v="December"/>
    <x v="1"/>
  </r>
  <r>
    <x v="0"/>
    <x v="2"/>
    <x v="2"/>
    <x v="2"/>
    <n v="1303"/>
    <n v="10"/>
    <n v="20"/>
    <n v="39090"/>
    <n v="1303"/>
    <x v="236"/>
    <n v="13030"/>
    <n v="24757"/>
    <x v="8"/>
    <n v="2"/>
    <s v="February"/>
    <x v="0"/>
  </r>
  <r>
    <x v="3"/>
    <x v="4"/>
    <x v="2"/>
    <x v="2"/>
    <n v="2992"/>
    <n v="10"/>
    <n v="125"/>
    <n v="403920"/>
    <n v="18700"/>
    <x v="237"/>
    <n v="359040"/>
    <n v="26180"/>
    <x v="3"/>
    <n v="3"/>
    <s v="March"/>
    <x v="0"/>
  </r>
  <r>
    <x v="3"/>
    <x v="2"/>
    <x v="2"/>
    <x v="2"/>
    <n v="2385"/>
    <n v="10"/>
    <n v="125"/>
    <n v="321975"/>
    <n v="14906.25"/>
    <x v="238"/>
    <n v="286200"/>
    <n v="20868.75"/>
    <x v="3"/>
    <n v="3"/>
    <s v="March"/>
    <x v="0"/>
  </r>
  <r>
    <x v="4"/>
    <x v="3"/>
    <x v="2"/>
    <x v="2"/>
    <n v="1607"/>
    <n v="10"/>
    <n v="300"/>
    <n v="498170"/>
    <n v="24105"/>
    <x v="239"/>
    <n v="401750"/>
    <n v="72315"/>
    <x v="13"/>
    <n v="4"/>
    <s v="April"/>
    <x v="0"/>
  </r>
  <r>
    <x v="0"/>
    <x v="4"/>
    <x v="2"/>
    <x v="2"/>
    <n v="2327"/>
    <n v="10"/>
    <n v="7"/>
    <n v="39559"/>
    <n v="814.45"/>
    <x v="240"/>
    <n v="11635"/>
    <n v="27109.550000000003"/>
    <x v="14"/>
    <n v="5"/>
    <s v="May"/>
    <x v="0"/>
  </r>
  <r>
    <x v="4"/>
    <x v="4"/>
    <x v="2"/>
    <x v="2"/>
    <n v="991"/>
    <n v="10"/>
    <n v="300"/>
    <n v="307210"/>
    <n v="14865"/>
    <x v="241"/>
    <n v="247750"/>
    <n v="44595"/>
    <x v="1"/>
    <n v="6"/>
    <s v="June"/>
    <x v="0"/>
  </r>
  <r>
    <x v="0"/>
    <x v="4"/>
    <x v="2"/>
    <x v="2"/>
    <n v="602"/>
    <n v="10"/>
    <n v="350"/>
    <n v="216720"/>
    <n v="10535"/>
    <x v="242"/>
    <n v="156520"/>
    <n v="49665"/>
    <x v="1"/>
    <n v="6"/>
    <s v="June"/>
    <x v="0"/>
  </r>
  <r>
    <x v="1"/>
    <x v="2"/>
    <x v="2"/>
    <x v="2"/>
    <n v="2620"/>
    <n v="10"/>
    <n v="15"/>
    <n v="65500"/>
    <n v="1965"/>
    <x v="243"/>
    <n v="26200"/>
    <n v="37335"/>
    <x v="6"/>
    <n v="9"/>
    <s v="September"/>
    <x v="0"/>
  </r>
  <r>
    <x v="0"/>
    <x v="0"/>
    <x v="2"/>
    <x v="2"/>
    <n v="1228"/>
    <n v="10"/>
    <n v="350"/>
    <n v="442080"/>
    <n v="21490"/>
    <x v="244"/>
    <n v="319280"/>
    <n v="101310"/>
    <x v="7"/>
    <n v="10"/>
    <s v="October"/>
    <x v="1"/>
  </r>
  <r>
    <x v="0"/>
    <x v="0"/>
    <x v="2"/>
    <x v="2"/>
    <n v="1389"/>
    <n v="10"/>
    <n v="20"/>
    <n v="41670"/>
    <n v="1389"/>
    <x v="245"/>
    <n v="13890"/>
    <n v="26391"/>
    <x v="7"/>
    <n v="10"/>
    <s v="October"/>
    <x v="1"/>
  </r>
  <r>
    <x v="3"/>
    <x v="4"/>
    <x v="2"/>
    <x v="2"/>
    <n v="861"/>
    <n v="10"/>
    <n v="125"/>
    <n v="116235"/>
    <n v="5381.25"/>
    <x v="246"/>
    <n v="103320"/>
    <n v="7533.75"/>
    <x v="10"/>
    <n v="10"/>
    <s v="October"/>
    <x v="0"/>
  </r>
  <r>
    <x v="3"/>
    <x v="2"/>
    <x v="2"/>
    <x v="2"/>
    <n v="704"/>
    <n v="10"/>
    <n v="125"/>
    <n v="95040"/>
    <n v="4400"/>
    <x v="247"/>
    <n v="84480"/>
    <n v="6160"/>
    <x v="7"/>
    <n v="10"/>
    <s v="October"/>
    <x v="1"/>
  </r>
  <r>
    <x v="0"/>
    <x v="0"/>
    <x v="2"/>
    <x v="2"/>
    <n v="1802"/>
    <n v="10"/>
    <n v="20"/>
    <n v="54060"/>
    <n v="1802"/>
    <x v="248"/>
    <n v="18020"/>
    <n v="34238"/>
    <x v="12"/>
    <n v="12"/>
    <s v="December"/>
    <x v="1"/>
  </r>
  <r>
    <x v="0"/>
    <x v="4"/>
    <x v="2"/>
    <x v="2"/>
    <n v="2663"/>
    <n v="10"/>
    <n v="20"/>
    <n v="79890"/>
    <n v="2663"/>
    <x v="249"/>
    <n v="26630"/>
    <n v="50597"/>
    <x v="2"/>
    <n v="12"/>
    <s v="December"/>
    <x v="0"/>
  </r>
  <r>
    <x v="0"/>
    <x v="2"/>
    <x v="2"/>
    <x v="2"/>
    <n v="2136"/>
    <n v="10"/>
    <n v="7"/>
    <n v="36312"/>
    <n v="747.6"/>
    <x v="250"/>
    <n v="10680"/>
    <n v="24884.400000000001"/>
    <x v="12"/>
    <n v="12"/>
    <s v="December"/>
    <x v="1"/>
  </r>
  <r>
    <x v="1"/>
    <x v="1"/>
    <x v="2"/>
    <x v="2"/>
    <n v="2116"/>
    <n v="10"/>
    <n v="15"/>
    <n v="52900"/>
    <n v="1587"/>
    <x v="251"/>
    <n v="21160"/>
    <n v="30153"/>
    <x v="12"/>
    <n v="12"/>
    <s v="December"/>
    <x v="1"/>
  </r>
  <r>
    <x v="1"/>
    <x v="4"/>
    <x v="3"/>
    <x v="2"/>
    <n v="555"/>
    <n v="120"/>
    <n v="15"/>
    <n v="74925"/>
    <n v="416.25"/>
    <x v="252"/>
    <n v="5550"/>
    <n v="68958.75"/>
    <x v="0"/>
    <n v="1"/>
    <s v="January"/>
    <x v="0"/>
  </r>
  <r>
    <x v="1"/>
    <x v="3"/>
    <x v="3"/>
    <x v="2"/>
    <n v="2861"/>
    <n v="120"/>
    <n v="15"/>
    <n v="386235"/>
    <n v="2145.75"/>
    <x v="253"/>
    <n v="28610"/>
    <n v="355479.25"/>
    <x v="0"/>
    <n v="1"/>
    <s v="January"/>
    <x v="0"/>
  </r>
  <r>
    <x v="3"/>
    <x v="1"/>
    <x v="3"/>
    <x v="2"/>
    <n v="807"/>
    <n v="120"/>
    <n v="125"/>
    <n v="197715"/>
    <n v="5043.75"/>
    <x v="254"/>
    <n v="96840"/>
    <n v="95831.25"/>
    <x v="8"/>
    <n v="2"/>
    <s v="February"/>
    <x v="0"/>
  </r>
  <r>
    <x v="0"/>
    <x v="4"/>
    <x v="3"/>
    <x v="2"/>
    <n v="602"/>
    <n v="120"/>
    <n v="350"/>
    <n v="282940"/>
    <n v="10535"/>
    <x v="255"/>
    <n v="156520"/>
    <n v="115885"/>
    <x v="1"/>
    <n v="6"/>
    <s v="June"/>
    <x v="0"/>
  </r>
  <r>
    <x v="0"/>
    <x v="4"/>
    <x v="3"/>
    <x v="2"/>
    <n v="2832"/>
    <n v="120"/>
    <n v="20"/>
    <n v="396480"/>
    <n v="2832"/>
    <x v="256"/>
    <n v="28320"/>
    <n v="365328"/>
    <x v="5"/>
    <n v="8"/>
    <s v="August"/>
    <x v="0"/>
  </r>
  <r>
    <x v="0"/>
    <x v="2"/>
    <x v="3"/>
    <x v="2"/>
    <n v="1579"/>
    <n v="120"/>
    <n v="20"/>
    <n v="221060"/>
    <n v="1579"/>
    <x v="257"/>
    <n v="15790"/>
    <n v="203691"/>
    <x v="5"/>
    <n v="8"/>
    <s v="August"/>
    <x v="0"/>
  </r>
  <r>
    <x v="3"/>
    <x v="4"/>
    <x v="3"/>
    <x v="2"/>
    <n v="861"/>
    <n v="120"/>
    <n v="125"/>
    <n v="210945"/>
    <n v="5381.25"/>
    <x v="258"/>
    <n v="103320"/>
    <n v="102243.75"/>
    <x v="10"/>
    <n v="10"/>
    <s v="October"/>
    <x v="0"/>
  </r>
  <r>
    <x v="3"/>
    <x v="2"/>
    <x v="3"/>
    <x v="2"/>
    <n v="704"/>
    <n v="120"/>
    <n v="125"/>
    <n v="172480"/>
    <n v="4400"/>
    <x v="259"/>
    <n v="84480"/>
    <n v="83600"/>
    <x v="7"/>
    <n v="10"/>
    <s v="October"/>
    <x v="1"/>
  </r>
  <r>
    <x v="0"/>
    <x v="2"/>
    <x v="3"/>
    <x v="2"/>
    <n v="1033"/>
    <n v="120"/>
    <n v="20"/>
    <n v="144620"/>
    <n v="1033"/>
    <x v="260"/>
    <n v="10330"/>
    <n v="133257"/>
    <x v="12"/>
    <n v="12"/>
    <s v="December"/>
    <x v="1"/>
  </r>
  <r>
    <x v="4"/>
    <x v="1"/>
    <x v="3"/>
    <x v="2"/>
    <n v="1250"/>
    <n v="120"/>
    <n v="300"/>
    <n v="525000"/>
    <n v="18750"/>
    <x v="261"/>
    <n v="312500"/>
    <n v="193750"/>
    <x v="2"/>
    <n v="12"/>
    <s v="December"/>
    <x v="0"/>
  </r>
  <r>
    <x v="0"/>
    <x v="0"/>
    <x v="4"/>
    <x v="2"/>
    <n v="1389"/>
    <n v="250"/>
    <n v="20"/>
    <n v="375030"/>
    <n v="1389"/>
    <x v="262"/>
    <n v="13890"/>
    <n v="359751"/>
    <x v="7"/>
    <n v="10"/>
    <s v="October"/>
    <x v="1"/>
  </r>
  <r>
    <x v="0"/>
    <x v="4"/>
    <x v="4"/>
    <x v="2"/>
    <n v="1265"/>
    <n v="250"/>
    <n v="20"/>
    <n v="341550"/>
    <n v="1265"/>
    <x v="263"/>
    <n v="12650"/>
    <n v="327635"/>
    <x v="11"/>
    <n v="11"/>
    <s v="November"/>
    <x v="1"/>
  </r>
  <r>
    <x v="0"/>
    <x v="1"/>
    <x v="4"/>
    <x v="2"/>
    <n v="2297"/>
    <n v="250"/>
    <n v="20"/>
    <n v="620190"/>
    <n v="2297"/>
    <x v="264"/>
    <n v="22970"/>
    <n v="594923"/>
    <x v="11"/>
    <n v="11"/>
    <s v="November"/>
    <x v="1"/>
  </r>
  <r>
    <x v="0"/>
    <x v="4"/>
    <x v="4"/>
    <x v="2"/>
    <n v="2663"/>
    <n v="250"/>
    <n v="20"/>
    <n v="719010"/>
    <n v="2663"/>
    <x v="265"/>
    <n v="26630"/>
    <n v="689717"/>
    <x v="2"/>
    <n v="12"/>
    <s v="December"/>
    <x v="0"/>
  </r>
  <r>
    <x v="0"/>
    <x v="4"/>
    <x v="4"/>
    <x v="2"/>
    <n v="570"/>
    <n v="250"/>
    <n v="7"/>
    <n v="146490"/>
    <n v="199.5"/>
    <x v="266"/>
    <n v="2850"/>
    <n v="143440.5"/>
    <x v="2"/>
    <n v="12"/>
    <s v="December"/>
    <x v="0"/>
  </r>
  <r>
    <x v="0"/>
    <x v="2"/>
    <x v="4"/>
    <x v="2"/>
    <n v="2487"/>
    <n v="250"/>
    <n v="7"/>
    <n v="639159"/>
    <n v="870.45"/>
    <x v="267"/>
    <n v="12435"/>
    <n v="625853.55000000005"/>
    <x v="2"/>
    <n v="12"/>
    <s v="December"/>
    <x v="0"/>
  </r>
  <r>
    <x v="0"/>
    <x v="1"/>
    <x v="5"/>
    <x v="2"/>
    <n v="1350"/>
    <n v="260"/>
    <n v="350"/>
    <n v="823500"/>
    <n v="23625"/>
    <x v="268"/>
    <n v="351000"/>
    <n v="448875"/>
    <x v="8"/>
    <n v="2"/>
    <s v="February"/>
    <x v="0"/>
  </r>
  <r>
    <x v="0"/>
    <x v="0"/>
    <x v="5"/>
    <x v="2"/>
    <n v="552"/>
    <n v="260"/>
    <n v="350"/>
    <n v="336720"/>
    <n v="9660"/>
    <x v="269"/>
    <n v="143520"/>
    <n v="183540"/>
    <x v="5"/>
    <n v="8"/>
    <s v="August"/>
    <x v="0"/>
  </r>
  <r>
    <x v="0"/>
    <x v="0"/>
    <x v="5"/>
    <x v="2"/>
    <n v="1228"/>
    <n v="260"/>
    <n v="350"/>
    <n v="749080"/>
    <n v="21490"/>
    <x v="270"/>
    <n v="319280"/>
    <n v="408310"/>
    <x v="7"/>
    <n v="10"/>
    <s v="October"/>
    <x v="1"/>
  </r>
  <r>
    <x v="4"/>
    <x v="1"/>
    <x v="5"/>
    <x v="2"/>
    <n v="1250"/>
    <n v="260"/>
    <n v="300"/>
    <n v="700000"/>
    <n v="18750"/>
    <x v="271"/>
    <n v="312500"/>
    <n v="368750"/>
    <x v="2"/>
    <n v="12"/>
    <s v="December"/>
    <x v="0"/>
  </r>
  <r>
    <x v="1"/>
    <x v="2"/>
    <x v="2"/>
    <x v="2"/>
    <n v="3801"/>
    <n v="10"/>
    <n v="15"/>
    <n v="95025"/>
    <n v="3420.8999999999996"/>
    <x v="272"/>
    <n v="38010"/>
    <n v="53594.100000000006"/>
    <x v="13"/>
    <n v="4"/>
    <s v="April"/>
    <x v="0"/>
  </r>
  <r>
    <x v="0"/>
    <x v="4"/>
    <x v="0"/>
    <x v="2"/>
    <n v="1117.5"/>
    <n v="3"/>
    <n v="20"/>
    <n v="25702.5"/>
    <n v="1341"/>
    <x v="273"/>
    <n v="11175"/>
    <n v="13186.5"/>
    <x v="0"/>
    <n v="1"/>
    <s v="January"/>
    <x v="0"/>
  </r>
  <r>
    <x v="1"/>
    <x v="0"/>
    <x v="0"/>
    <x v="2"/>
    <n v="2844"/>
    <n v="3"/>
    <n v="15"/>
    <n v="51192"/>
    <n v="2559.6"/>
    <x v="274"/>
    <n v="28440"/>
    <n v="20192.400000000001"/>
    <x v="1"/>
    <n v="6"/>
    <s v="June"/>
    <x v="0"/>
  </r>
  <r>
    <x v="2"/>
    <x v="3"/>
    <x v="0"/>
    <x v="2"/>
    <n v="562"/>
    <n v="3"/>
    <n v="12"/>
    <n v="8430"/>
    <n v="404.64"/>
    <x v="275"/>
    <n v="1686"/>
    <n v="6339.36"/>
    <x v="6"/>
    <n v="9"/>
    <s v="September"/>
    <x v="0"/>
  </r>
  <r>
    <x v="2"/>
    <x v="0"/>
    <x v="0"/>
    <x v="2"/>
    <n v="2299"/>
    <n v="3"/>
    <n v="12"/>
    <n v="34485"/>
    <n v="1655.28"/>
    <x v="276"/>
    <n v="6897"/>
    <n v="25932.720000000001"/>
    <x v="7"/>
    <n v="10"/>
    <s v="October"/>
    <x v="1"/>
  </r>
  <r>
    <x v="1"/>
    <x v="4"/>
    <x v="0"/>
    <x v="2"/>
    <n v="2030"/>
    <n v="3"/>
    <n v="15"/>
    <n v="36540"/>
    <n v="1827"/>
    <x v="277"/>
    <n v="20300"/>
    <n v="14413"/>
    <x v="15"/>
    <n v="11"/>
    <s v="November"/>
    <x v="0"/>
  </r>
  <r>
    <x v="0"/>
    <x v="4"/>
    <x v="0"/>
    <x v="2"/>
    <n v="263"/>
    <n v="3"/>
    <n v="7"/>
    <n v="2630"/>
    <n v="110.46"/>
    <x v="278"/>
    <n v="1315"/>
    <n v="1204.54"/>
    <x v="11"/>
    <n v="11"/>
    <s v="November"/>
    <x v="1"/>
  </r>
  <r>
    <x v="3"/>
    <x v="1"/>
    <x v="0"/>
    <x v="2"/>
    <n v="887"/>
    <n v="3"/>
    <n v="125"/>
    <n v="113536"/>
    <n v="6652.5"/>
    <x v="279"/>
    <n v="106440"/>
    <n v="443.5"/>
    <x v="12"/>
    <n v="12"/>
    <s v="December"/>
    <x v="1"/>
  </r>
  <r>
    <x v="0"/>
    <x v="3"/>
    <x v="1"/>
    <x v="2"/>
    <n v="980"/>
    <n v="5"/>
    <n v="350"/>
    <n v="347900"/>
    <n v="20580"/>
    <x v="280"/>
    <n v="254800"/>
    <n v="72520"/>
    <x v="13"/>
    <n v="4"/>
    <s v="April"/>
    <x v="0"/>
  </r>
  <r>
    <x v="0"/>
    <x v="1"/>
    <x v="1"/>
    <x v="2"/>
    <n v="1460"/>
    <n v="5"/>
    <n v="350"/>
    <n v="518300"/>
    <n v="30660"/>
    <x v="281"/>
    <n v="379600"/>
    <n v="108040"/>
    <x v="14"/>
    <n v="5"/>
    <s v="May"/>
    <x v="0"/>
  </r>
  <r>
    <x v="0"/>
    <x v="2"/>
    <x v="1"/>
    <x v="2"/>
    <n v="1403"/>
    <n v="5"/>
    <n v="7"/>
    <n v="16836"/>
    <n v="589.26"/>
    <x v="282"/>
    <n v="7015"/>
    <n v="9231.74"/>
    <x v="7"/>
    <n v="10"/>
    <s v="October"/>
    <x v="1"/>
  </r>
  <r>
    <x v="2"/>
    <x v="4"/>
    <x v="1"/>
    <x v="2"/>
    <n v="2723"/>
    <n v="5"/>
    <n v="12"/>
    <n v="46291"/>
    <n v="1960.56"/>
    <x v="283"/>
    <n v="8169"/>
    <n v="36161.440000000002"/>
    <x v="15"/>
    <n v="11"/>
    <s v="November"/>
    <x v="0"/>
  </r>
  <r>
    <x v="0"/>
    <x v="2"/>
    <x v="2"/>
    <x v="2"/>
    <n v="1496"/>
    <n v="10"/>
    <n v="350"/>
    <n v="538560"/>
    <n v="31416"/>
    <x v="284"/>
    <n v="388960"/>
    <n v="118184"/>
    <x v="1"/>
    <n v="6"/>
    <s v="June"/>
    <x v="0"/>
  </r>
  <r>
    <x v="2"/>
    <x v="0"/>
    <x v="2"/>
    <x v="2"/>
    <n v="2299"/>
    <n v="10"/>
    <n v="12"/>
    <n v="50578"/>
    <n v="1655.28"/>
    <x v="285"/>
    <n v="6897"/>
    <n v="42025.72"/>
    <x v="7"/>
    <n v="10"/>
    <s v="October"/>
    <x v="1"/>
  </r>
  <r>
    <x v="0"/>
    <x v="4"/>
    <x v="2"/>
    <x v="2"/>
    <n v="727"/>
    <n v="10"/>
    <n v="350"/>
    <n v="261720"/>
    <n v="15267"/>
    <x v="286"/>
    <n v="189020"/>
    <n v="57433"/>
    <x v="7"/>
    <n v="10"/>
    <s v="October"/>
    <x v="1"/>
  </r>
  <r>
    <x v="3"/>
    <x v="0"/>
    <x v="3"/>
    <x v="2"/>
    <n v="952"/>
    <n v="120"/>
    <n v="125"/>
    <n v="233240"/>
    <n v="7140"/>
    <x v="287"/>
    <n v="114240"/>
    <n v="111860"/>
    <x v="8"/>
    <n v="2"/>
    <s v="February"/>
    <x v="0"/>
  </r>
  <r>
    <x v="3"/>
    <x v="4"/>
    <x v="3"/>
    <x v="2"/>
    <n v="2755"/>
    <n v="120"/>
    <n v="125"/>
    <n v="674975"/>
    <n v="20662.5"/>
    <x v="288"/>
    <n v="330600"/>
    <n v="323712.5"/>
    <x v="8"/>
    <n v="2"/>
    <s v="February"/>
    <x v="0"/>
  </r>
  <r>
    <x v="1"/>
    <x v="1"/>
    <x v="3"/>
    <x v="2"/>
    <n v="1530"/>
    <n v="120"/>
    <n v="15"/>
    <n v="206550"/>
    <n v="1377"/>
    <x v="289"/>
    <n v="15300"/>
    <n v="189873"/>
    <x v="14"/>
    <n v="5"/>
    <s v="May"/>
    <x v="0"/>
  </r>
  <r>
    <x v="0"/>
    <x v="2"/>
    <x v="3"/>
    <x v="2"/>
    <n v="1496"/>
    <n v="120"/>
    <n v="350"/>
    <n v="703120"/>
    <n v="31416"/>
    <x v="290"/>
    <n v="388960"/>
    <n v="282744"/>
    <x v="1"/>
    <n v="6"/>
    <s v="June"/>
    <x v="0"/>
  </r>
  <r>
    <x v="0"/>
    <x v="3"/>
    <x v="3"/>
    <x v="2"/>
    <n v="1498"/>
    <n v="120"/>
    <n v="7"/>
    <n v="190246"/>
    <n v="629.16"/>
    <x v="291"/>
    <n v="7490"/>
    <n v="182126.84"/>
    <x v="1"/>
    <n v="6"/>
    <s v="June"/>
    <x v="0"/>
  </r>
  <r>
    <x v="4"/>
    <x v="2"/>
    <x v="3"/>
    <x v="2"/>
    <n v="1221"/>
    <n v="120"/>
    <n v="300"/>
    <n v="512820"/>
    <n v="21978"/>
    <x v="292"/>
    <n v="305250"/>
    <n v="185592"/>
    <x v="7"/>
    <n v="10"/>
    <s v="October"/>
    <x v="1"/>
  </r>
  <r>
    <x v="0"/>
    <x v="2"/>
    <x v="3"/>
    <x v="2"/>
    <n v="2076"/>
    <n v="120"/>
    <n v="350"/>
    <n v="975720"/>
    <n v="43596"/>
    <x v="293"/>
    <n v="539760"/>
    <n v="392364"/>
    <x v="7"/>
    <n v="10"/>
    <s v="October"/>
    <x v="1"/>
  </r>
  <r>
    <x v="1"/>
    <x v="0"/>
    <x v="4"/>
    <x v="2"/>
    <n v="2844"/>
    <n v="250"/>
    <n v="15"/>
    <n v="753660"/>
    <n v="2559.6"/>
    <x v="294"/>
    <n v="28440"/>
    <n v="722660.4"/>
    <x v="1"/>
    <n v="6"/>
    <s v="June"/>
    <x v="0"/>
  </r>
  <r>
    <x v="0"/>
    <x v="3"/>
    <x v="4"/>
    <x v="2"/>
    <n v="1498"/>
    <n v="250"/>
    <n v="7"/>
    <n v="384986"/>
    <n v="629.16"/>
    <x v="295"/>
    <n v="7490"/>
    <n v="376866.84"/>
    <x v="1"/>
    <n v="6"/>
    <s v="June"/>
    <x v="0"/>
  </r>
  <r>
    <x v="4"/>
    <x v="2"/>
    <x v="4"/>
    <x v="2"/>
    <n v="1221"/>
    <n v="250"/>
    <n v="300"/>
    <n v="671550"/>
    <n v="21978"/>
    <x v="296"/>
    <n v="305250"/>
    <n v="344322"/>
    <x v="7"/>
    <n v="10"/>
    <s v="October"/>
    <x v="1"/>
  </r>
  <r>
    <x v="0"/>
    <x v="3"/>
    <x v="4"/>
    <x v="2"/>
    <n v="1123"/>
    <n v="250"/>
    <n v="20"/>
    <n v="303210"/>
    <n v="1347.6"/>
    <x v="297"/>
    <n v="11230"/>
    <n v="290632.40000000002"/>
    <x v="11"/>
    <n v="11"/>
    <s v="November"/>
    <x v="1"/>
  </r>
  <r>
    <x v="4"/>
    <x v="0"/>
    <x v="4"/>
    <x v="2"/>
    <n v="2436"/>
    <n v="250"/>
    <n v="300"/>
    <n v="1339800"/>
    <n v="43848"/>
    <x v="298"/>
    <n v="609000"/>
    <n v="686952"/>
    <x v="12"/>
    <n v="12"/>
    <s v="December"/>
    <x v="1"/>
  </r>
  <r>
    <x v="3"/>
    <x v="2"/>
    <x v="5"/>
    <x v="2"/>
    <n v="1987.5"/>
    <n v="260"/>
    <n v="125"/>
    <n v="765187.5"/>
    <n v="14906.25"/>
    <x v="299"/>
    <n v="238500"/>
    <n v="511781.25"/>
    <x v="0"/>
    <n v="1"/>
    <s v="January"/>
    <x v="0"/>
  </r>
  <r>
    <x v="0"/>
    <x v="3"/>
    <x v="5"/>
    <x v="2"/>
    <n v="1679"/>
    <n v="260"/>
    <n v="350"/>
    <n v="1024190"/>
    <n v="35259"/>
    <x v="300"/>
    <n v="436540"/>
    <n v="552391"/>
    <x v="6"/>
    <n v="9"/>
    <s v="September"/>
    <x v="0"/>
  </r>
  <r>
    <x v="0"/>
    <x v="4"/>
    <x v="5"/>
    <x v="2"/>
    <n v="727"/>
    <n v="260"/>
    <n v="350"/>
    <n v="443470"/>
    <n v="15267"/>
    <x v="301"/>
    <n v="189020"/>
    <n v="239183"/>
    <x v="7"/>
    <n v="10"/>
    <s v="October"/>
    <x v="1"/>
  </r>
  <r>
    <x v="0"/>
    <x v="2"/>
    <x v="5"/>
    <x v="2"/>
    <n v="1403"/>
    <n v="260"/>
    <n v="7"/>
    <n v="374601"/>
    <n v="589.26"/>
    <x v="302"/>
    <n v="7015"/>
    <n v="366996.74"/>
    <x v="7"/>
    <n v="10"/>
    <s v="October"/>
    <x v="1"/>
  </r>
  <r>
    <x v="0"/>
    <x v="2"/>
    <x v="5"/>
    <x v="2"/>
    <n v="2076"/>
    <n v="260"/>
    <n v="350"/>
    <n v="1266360"/>
    <n v="43596"/>
    <x v="303"/>
    <n v="539760"/>
    <n v="683004"/>
    <x v="7"/>
    <n v="10"/>
    <s v="October"/>
    <x v="1"/>
  </r>
  <r>
    <x v="0"/>
    <x v="2"/>
    <x v="1"/>
    <x v="2"/>
    <n v="1757"/>
    <n v="5"/>
    <n v="20"/>
    <n v="43925"/>
    <n v="2108.4"/>
    <x v="304"/>
    <n v="17570"/>
    <n v="24246.6"/>
    <x v="7"/>
    <n v="10"/>
    <s v="October"/>
    <x v="1"/>
  </r>
  <r>
    <x v="1"/>
    <x v="4"/>
    <x v="2"/>
    <x v="2"/>
    <n v="2198"/>
    <n v="10"/>
    <n v="15"/>
    <n v="54950"/>
    <n v="1978.2"/>
    <x v="305"/>
    <n v="21980"/>
    <n v="30991.800000000003"/>
    <x v="5"/>
    <n v="8"/>
    <s v="August"/>
    <x v="0"/>
  </r>
  <r>
    <x v="1"/>
    <x v="1"/>
    <x v="2"/>
    <x v="2"/>
    <n v="1743"/>
    <n v="10"/>
    <n v="15"/>
    <n v="43575"/>
    <n v="1568.7"/>
    <x v="306"/>
    <n v="17430"/>
    <n v="24576.300000000003"/>
    <x v="5"/>
    <n v="8"/>
    <s v="August"/>
    <x v="0"/>
  </r>
  <r>
    <x v="1"/>
    <x v="4"/>
    <x v="2"/>
    <x v="2"/>
    <n v="1153"/>
    <n v="10"/>
    <n v="15"/>
    <n v="28825"/>
    <n v="1037.7"/>
    <x v="307"/>
    <n v="11530"/>
    <n v="16257.3"/>
    <x v="10"/>
    <n v="10"/>
    <s v="October"/>
    <x v="0"/>
  </r>
  <r>
    <x v="0"/>
    <x v="2"/>
    <x v="2"/>
    <x v="2"/>
    <n v="1757"/>
    <n v="10"/>
    <n v="20"/>
    <n v="52710"/>
    <n v="2108.4"/>
    <x v="308"/>
    <n v="17570"/>
    <n v="33031.599999999999"/>
    <x v="7"/>
    <n v="10"/>
    <s v="October"/>
    <x v="1"/>
  </r>
  <r>
    <x v="0"/>
    <x v="1"/>
    <x v="3"/>
    <x v="2"/>
    <n v="1001"/>
    <n v="120"/>
    <n v="20"/>
    <n v="140140"/>
    <n v="1201.2"/>
    <x v="309"/>
    <n v="10010"/>
    <n v="128928.79999999999"/>
    <x v="5"/>
    <n v="8"/>
    <s v="August"/>
    <x v="0"/>
  </r>
  <r>
    <x v="0"/>
    <x v="3"/>
    <x v="3"/>
    <x v="2"/>
    <n v="1333"/>
    <n v="120"/>
    <n v="7"/>
    <n v="169291"/>
    <n v="559.86"/>
    <x v="310"/>
    <n v="6665"/>
    <n v="162066.14000000001"/>
    <x v="15"/>
    <n v="11"/>
    <s v="November"/>
    <x v="0"/>
  </r>
  <r>
    <x v="1"/>
    <x v="4"/>
    <x v="4"/>
    <x v="2"/>
    <n v="1153"/>
    <n v="250"/>
    <n v="15"/>
    <n v="305545"/>
    <n v="1037.7"/>
    <x v="311"/>
    <n v="11530"/>
    <n v="292977.3"/>
    <x v="10"/>
    <n v="10"/>
    <s v="October"/>
    <x v="0"/>
  </r>
  <r>
    <x v="2"/>
    <x v="3"/>
    <x v="0"/>
    <x v="2"/>
    <n v="727"/>
    <n v="3"/>
    <n v="12"/>
    <n v="10905"/>
    <n v="610.67999999999995"/>
    <x v="312"/>
    <n v="2181"/>
    <n v="8113.32"/>
    <x v="8"/>
    <n v="2"/>
    <s v="February"/>
    <x v="0"/>
  </r>
  <r>
    <x v="2"/>
    <x v="0"/>
    <x v="0"/>
    <x v="2"/>
    <n v="1884"/>
    <n v="3"/>
    <n v="12"/>
    <n v="28260"/>
    <n v="1582.56"/>
    <x v="313"/>
    <n v="5652"/>
    <n v="21025.439999999999"/>
    <x v="5"/>
    <n v="8"/>
    <s v="August"/>
    <x v="0"/>
  </r>
  <r>
    <x v="0"/>
    <x v="3"/>
    <x v="0"/>
    <x v="2"/>
    <n v="1834"/>
    <n v="3"/>
    <n v="20"/>
    <n v="42182"/>
    <n v="2567.6"/>
    <x v="314"/>
    <n v="18340"/>
    <n v="21274.400000000001"/>
    <x v="9"/>
    <n v="9"/>
    <s v="September"/>
    <x v="1"/>
  </r>
  <r>
    <x v="2"/>
    <x v="3"/>
    <x v="1"/>
    <x v="2"/>
    <n v="2340"/>
    <n v="5"/>
    <n v="12"/>
    <n v="39780"/>
    <n v="1965.6"/>
    <x v="315"/>
    <n v="7020"/>
    <n v="30794.400000000001"/>
    <x v="0"/>
    <n v="1"/>
    <s v="January"/>
    <x v="0"/>
  </r>
  <r>
    <x v="2"/>
    <x v="2"/>
    <x v="1"/>
    <x v="2"/>
    <n v="2342"/>
    <n v="5"/>
    <n v="12"/>
    <n v="39814"/>
    <n v="1967.28"/>
    <x v="316"/>
    <n v="7026"/>
    <n v="30820.720000000001"/>
    <x v="15"/>
    <n v="11"/>
    <s v="November"/>
    <x v="0"/>
  </r>
  <r>
    <x v="0"/>
    <x v="2"/>
    <x v="2"/>
    <x v="2"/>
    <n v="1031"/>
    <n v="10"/>
    <n v="7"/>
    <n v="17527"/>
    <n v="505.19"/>
    <x v="317"/>
    <n v="5155"/>
    <n v="11866.810000000001"/>
    <x v="9"/>
    <n v="9"/>
    <s v="September"/>
    <x v="1"/>
  </r>
  <r>
    <x v="1"/>
    <x v="0"/>
    <x v="3"/>
    <x v="2"/>
    <n v="1262"/>
    <n v="120"/>
    <n v="15"/>
    <n v="170370"/>
    <n v="1325.1"/>
    <x v="318"/>
    <n v="12620"/>
    <n v="156424.9"/>
    <x v="14"/>
    <n v="5"/>
    <s v="May"/>
    <x v="0"/>
  </r>
  <r>
    <x v="0"/>
    <x v="0"/>
    <x v="3"/>
    <x v="2"/>
    <n v="1135"/>
    <n v="120"/>
    <n v="7"/>
    <n v="144145"/>
    <n v="556.15"/>
    <x v="319"/>
    <n v="5675"/>
    <n v="137913.85"/>
    <x v="1"/>
    <n v="6"/>
    <s v="June"/>
    <x v="0"/>
  </r>
  <r>
    <x v="0"/>
    <x v="4"/>
    <x v="3"/>
    <x v="2"/>
    <n v="547"/>
    <n v="120"/>
    <n v="7"/>
    <n v="69469"/>
    <n v="268.02999999999997"/>
    <x v="320"/>
    <n v="2735"/>
    <n v="66465.97"/>
    <x v="15"/>
    <n v="11"/>
    <s v="November"/>
    <x v="0"/>
  </r>
  <r>
    <x v="0"/>
    <x v="0"/>
    <x v="3"/>
    <x v="2"/>
    <n v="1582"/>
    <n v="120"/>
    <n v="7"/>
    <n v="200914"/>
    <n v="775.18"/>
    <x v="321"/>
    <n v="7910"/>
    <n v="192228.82"/>
    <x v="2"/>
    <n v="12"/>
    <s v="December"/>
    <x v="0"/>
  </r>
  <r>
    <x v="2"/>
    <x v="2"/>
    <x v="4"/>
    <x v="2"/>
    <n v="1738.5"/>
    <n v="250"/>
    <n v="12"/>
    <n v="455487"/>
    <n v="1460.34"/>
    <x v="322"/>
    <n v="5215.5"/>
    <n v="448811.16"/>
    <x v="13"/>
    <n v="4"/>
    <s v="April"/>
    <x v="0"/>
  </r>
  <r>
    <x v="2"/>
    <x v="1"/>
    <x v="4"/>
    <x v="2"/>
    <n v="2215"/>
    <n v="250"/>
    <n v="12"/>
    <n v="580330"/>
    <n v="1860.6"/>
    <x v="323"/>
    <n v="6645"/>
    <n v="571824.4"/>
    <x v="9"/>
    <n v="9"/>
    <s v="September"/>
    <x v="1"/>
  </r>
  <r>
    <x v="0"/>
    <x v="0"/>
    <x v="4"/>
    <x v="2"/>
    <n v="1582"/>
    <n v="250"/>
    <n v="7"/>
    <n v="406574"/>
    <n v="775.18"/>
    <x v="324"/>
    <n v="7910"/>
    <n v="397888.82"/>
    <x v="2"/>
    <n v="12"/>
    <s v="December"/>
    <x v="0"/>
  </r>
  <r>
    <x v="0"/>
    <x v="0"/>
    <x v="5"/>
    <x v="2"/>
    <n v="1135"/>
    <n v="260"/>
    <n v="7"/>
    <n v="303045"/>
    <n v="556.15"/>
    <x v="325"/>
    <n v="5675"/>
    <n v="296813.84999999998"/>
    <x v="1"/>
    <n v="6"/>
    <s v="June"/>
    <x v="0"/>
  </r>
  <r>
    <x v="0"/>
    <x v="4"/>
    <x v="0"/>
    <x v="2"/>
    <n v="1761"/>
    <n v="3"/>
    <n v="350"/>
    <n v="621633"/>
    <n v="43144.5"/>
    <x v="326"/>
    <n v="457860"/>
    <n v="120628.5"/>
    <x v="3"/>
    <n v="3"/>
    <s v="March"/>
    <x v="0"/>
  </r>
  <r>
    <x v="4"/>
    <x v="2"/>
    <x v="0"/>
    <x v="2"/>
    <n v="448"/>
    <n v="3"/>
    <n v="300"/>
    <n v="135744"/>
    <n v="9408"/>
    <x v="327"/>
    <n v="112000"/>
    <n v="14336"/>
    <x v="1"/>
    <n v="6"/>
    <s v="June"/>
    <x v="0"/>
  </r>
  <r>
    <x v="4"/>
    <x v="2"/>
    <x v="0"/>
    <x v="2"/>
    <n v="2181"/>
    <n v="3"/>
    <n v="300"/>
    <n v="660843"/>
    <n v="45801"/>
    <x v="328"/>
    <n v="545250"/>
    <n v="69792"/>
    <x v="10"/>
    <n v="10"/>
    <s v="October"/>
    <x v="0"/>
  </r>
  <r>
    <x v="0"/>
    <x v="2"/>
    <x v="1"/>
    <x v="2"/>
    <n v="1976"/>
    <n v="5"/>
    <n v="20"/>
    <n v="49400"/>
    <n v="2766.4"/>
    <x v="329"/>
    <n v="19760"/>
    <n v="26873.599999999999"/>
    <x v="10"/>
    <n v="10"/>
    <s v="October"/>
    <x v="0"/>
  </r>
  <r>
    <x v="4"/>
    <x v="2"/>
    <x v="1"/>
    <x v="2"/>
    <n v="2181"/>
    <n v="5"/>
    <n v="300"/>
    <n v="665205"/>
    <n v="45801"/>
    <x v="330"/>
    <n v="545250"/>
    <n v="74154"/>
    <x v="10"/>
    <n v="10"/>
    <s v="October"/>
    <x v="0"/>
  </r>
  <r>
    <x v="3"/>
    <x v="1"/>
    <x v="1"/>
    <x v="2"/>
    <n v="2500"/>
    <n v="5"/>
    <n v="125"/>
    <n v="325000"/>
    <n v="21875"/>
    <x v="331"/>
    <n v="300000"/>
    <n v="3125"/>
    <x v="11"/>
    <n v="11"/>
    <s v="November"/>
    <x v="1"/>
  </r>
  <r>
    <x v="4"/>
    <x v="0"/>
    <x v="2"/>
    <x v="2"/>
    <n v="1702"/>
    <n v="10"/>
    <n v="300"/>
    <n v="527620"/>
    <n v="35742"/>
    <x v="332"/>
    <n v="425500"/>
    <n v="66378"/>
    <x v="14"/>
    <n v="5"/>
    <s v="May"/>
    <x v="0"/>
  </r>
  <r>
    <x v="4"/>
    <x v="2"/>
    <x v="2"/>
    <x v="2"/>
    <n v="448"/>
    <n v="10"/>
    <n v="300"/>
    <n v="138880"/>
    <n v="9408"/>
    <x v="333"/>
    <n v="112000"/>
    <n v="17472"/>
    <x v="1"/>
    <n v="6"/>
    <s v="June"/>
    <x v="0"/>
  </r>
  <r>
    <x v="3"/>
    <x v="1"/>
    <x v="2"/>
    <x v="2"/>
    <n v="3513"/>
    <n v="10"/>
    <n v="125"/>
    <n v="474255"/>
    <n v="30738.75"/>
    <x v="334"/>
    <n v="421560"/>
    <n v="21956.25"/>
    <x v="4"/>
    <n v="7"/>
    <s v="July"/>
    <x v="0"/>
  </r>
  <r>
    <x v="1"/>
    <x v="2"/>
    <x v="2"/>
    <x v="2"/>
    <n v="2101"/>
    <n v="10"/>
    <n v="15"/>
    <n v="52525"/>
    <n v="2206.0500000000002"/>
    <x v="335"/>
    <n v="21010"/>
    <n v="29308.949999999997"/>
    <x v="5"/>
    <n v="8"/>
    <s v="August"/>
    <x v="0"/>
  </r>
  <r>
    <x v="1"/>
    <x v="4"/>
    <x v="2"/>
    <x v="2"/>
    <n v="2931"/>
    <n v="10"/>
    <n v="15"/>
    <n v="73275"/>
    <n v="3077.55"/>
    <x v="336"/>
    <n v="29310"/>
    <n v="40887.449999999997"/>
    <x v="9"/>
    <n v="9"/>
    <s v="September"/>
    <x v="1"/>
  </r>
  <r>
    <x v="0"/>
    <x v="2"/>
    <x v="2"/>
    <x v="2"/>
    <n v="1535"/>
    <n v="10"/>
    <n v="20"/>
    <n v="46050"/>
    <n v="2149"/>
    <x v="337"/>
    <n v="15350"/>
    <n v="28551"/>
    <x v="6"/>
    <n v="9"/>
    <s v="September"/>
    <x v="0"/>
  </r>
  <r>
    <x v="4"/>
    <x v="1"/>
    <x v="2"/>
    <x v="2"/>
    <n v="1123"/>
    <n v="10"/>
    <n v="300"/>
    <n v="348130"/>
    <n v="23583"/>
    <x v="338"/>
    <n v="280750"/>
    <n v="43797"/>
    <x v="9"/>
    <n v="9"/>
    <s v="September"/>
    <x v="1"/>
  </r>
  <r>
    <x v="4"/>
    <x v="0"/>
    <x v="2"/>
    <x v="2"/>
    <n v="1404"/>
    <n v="10"/>
    <n v="300"/>
    <n v="435240"/>
    <n v="29484"/>
    <x v="339"/>
    <n v="351000"/>
    <n v="54756"/>
    <x v="11"/>
    <n v="11"/>
    <s v="November"/>
    <x v="1"/>
  </r>
  <r>
    <x v="2"/>
    <x v="3"/>
    <x v="2"/>
    <x v="2"/>
    <n v="2763"/>
    <n v="10"/>
    <n v="12"/>
    <n v="60786"/>
    <n v="2320.92"/>
    <x v="340"/>
    <n v="8289"/>
    <n v="50176.08"/>
    <x v="11"/>
    <n v="11"/>
    <s v="November"/>
    <x v="1"/>
  </r>
  <r>
    <x v="0"/>
    <x v="1"/>
    <x v="2"/>
    <x v="2"/>
    <n v="2125"/>
    <n v="10"/>
    <n v="7"/>
    <n v="36125"/>
    <n v="1041.25"/>
    <x v="341"/>
    <n v="10625"/>
    <n v="24458.75"/>
    <x v="12"/>
    <n v="12"/>
    <s v="December"/>
    <x v="1"/>
  </r>
  <r>
    <x v="4"/>
    <x v="2"/>
    <x v="3"/>
    <x v="2"/>
    <n v="1659"/>
    <n v="120"/>
    <n v="300"/>
    <n v="696780"/>
    <n v="34839"/>
    <x v="342"/>
    <n v="414750"/>
    <n v="247191"/>
    <x v="4"/>
    <n v="7"/>
    <s v="July"/>
    <x v="0"/>
  </r>
  <r>
    <x v="0"/>
    <x v="3"/>
    <x v="3"/>
    <x v="2"/>
    <n v="609"/>
    <n v="120"/>
    <n v="20"/>
    <n v="85260"/>
    <n v="852.6"/>
    <x v="343"/>
    <n v="6090"/>
    <n v="78317.399999999994"/>
    <x v="5"/>
    <n v="8"/>
    <s v="August"/>
    <x v="0"/>
  </r>
  <r>
    <x v="3"/>
    <x v="1"/>
    <x v="3"/>
    <x v="2"/>
    <n v="2087"/>
    <n v="120"/>
    <n v="125"/>
    <n v="511315"/>
    <n v="18261.25"/>
    <x v="344"/>
    <n v="250440"/>
    <n v="242613.75"/>
    <x v="6"/>
    <n v="9"/>
    <s v="September"/>
    <x v="0"/>
  </r>
  <r>
    <x v="0"/>
    <x v="2"/>
    <x v="3"/>
    <x v="2"/>
    <n v="1976"/>
    <n v="120"/>
    <n v="20"/>
    <n v="276640"/>
    <n v="2766.4"/>
    <x v="345"/>
    <n v="19760"/>
    <n v="254113.59999999998"/>
    <x v="10"/>
    <n v="10"/>
    <s v="October"/>
    <x v="0"/>
  </r>
  <r>
    <x v="0"/>
    <x v="4"/>
    <x v="3"/>
    <x v="2"/>
    <n v="1421"/>
    <n v="120"/>
    <n v="20"/>
    <n v="198940"/>
    <n v="1989.4"/>
    <x v="346"/>
    <n v="14210"/>
    <n v="182740.6"/>
    <x v="12"/>
    <n v="12"/>
    <s v="December"/>
    <x v="1"/>
  </r>
  <r>
    <x v="4"/>
    <x v="4"/>
    <x v="3"/>
    <x v="2"/>
    <n v="1372"/>
    <n v="120"/>
    <n v="300"/>
    <n v="576240"/>
    <n v="28812"/>
    <x v="347"/>
    <n v="343000"/>
    <n v="204428"/>
    <x v="2"/>
    <n v="12"/>
    <s v="December"/>
    <x v="0"/>
  </r>
  <r>
    <x v="0"/>
    <x v="1"/>
    <x v="3"/>
    <x v="2"/>
    <n v="588"/>
    <n v="120"/>
    <n v="20"/>
    <n v="82320"/>
    <n v="823.2"/>
    <x v="348"/>
    <n v="5880"/>
    <n v="75616.800000000003"/>
    <x v="12"/>
    <n v="12"/>
    <s v="December"/>
    <x v="1"/>
  </r>
  <r>
    <x v="2"/>
    <x v="0"/>
    <x v="4"/>
    <x v="2"/>
    <n v="3244.5"/>
    <n v="250"/>
    <n v="12"/>
    <n v="850059"/>
    <n v="2725.38"/>
    <x v="349"/>
    <n v="9733.5"/>
    <n v="837600.12"/>
    <x v="0"/>
    <n v="1"/>
    <s v="January"/>
    <x v="0"/>
  </r>
  <r>
    <x v="4"/>
    <x v="2"/>
    <x v="4"/>
    <x v="2"/>
    <n v="959"/>
    <n v="250"/>
    <n v="300"/>
    <n v="527450"/>
    <n v="20139"/>
    <x v="350"/>
    <n v="239750"/>
    <n v="267561"/>
    <x v="8"/>
    <n v="2"/>
    <s v="February"/>
    <x v="0"/>
  </r>
  <r>
    <x v="4"/>
    <x v="3"/>
    <x v="4"/>
    <x v="2"/>
    <n v="2747"/>
    <n v="250"/>
    <n v="300"/>
    <n v="1510850"/>
    <n v="57687"/>
    <x v="351"/>
    <n v="686750"/>
    <n v="766413"/>
    <x v="8"/>
    <n v="2"/>
    <s v="February"/>
    <x v="0"/>
  </r>
  <r>
    <x v="3"/>
    <x v="0"/>
    <x v="5"/>
    <x v="2"/>
    <n v="1645"/>
    <n v="260"/>
    <n v="125"/>
    <n v="633325"/>
    <n v="14393.75"/>
    <x v="352"/>
    <n v="197400"/>
    <n v="421531.25"/>
    <x v="14"/>
    <n v="5"/>
    <s v="May"/>
    <x v="0"/>
  </r>
  <r>
    <x v="0"/>
    <x v="2"/>
    <x v="5"/>
    <x v="2"/>
    <n v="2876"/>
    <n v="260"/>
    <n v="350"/>
    <n v="1754360"/>
    <n v="70462"/>
    <x v="353"/>
    <n v="747760"/>
    <n v="936138"/>
    <x v="6"/>
    <n v="9"/>
    <s v="September"/>
    <x v="0"/>
  </r>
  <r>
    <x v="3"/>
    <x v="1"/>
    <x v="5"/>
    <x v="2"/>
    <n v="994"/>
    <n v="260"/>
    <n v="125"/>
    <n v="382690"/>
    <n v="8697.5"/>
    <x v="354"/>
    <n v="119280"/>
    <n v="254712.5"/>
    <x v="9"/>
    <n v="9"/>
    <s v="September"/>
    <x v="1"/>
  </r>
  <r>
    <x v="0"/>
    <x v="0"/>
    <x v="5"/>
    <x v="2"/>
    <n v="1118"/>
    <n v="260"/>
    <n v="20"/>
    <n v="313040"/>
    <n v="1565.2"/>
    <x v="355"/>
    <n v="11180"/>
    <n v="300294.8"/>
    <x v="15"/>
    <n v="11"/>
    <s v="November"/>
    <x v="0"/>
  </r>
  <r>
    <x v="4"/>
    <x v="4"/>
    <x v="5"/>
    <x v="2"/>
    <n v="1372"/>
    <n v="260"/>
    <n v="300"/>
    <n v="768320"/>
    <n v="28812"/>
    <x v="356"/>
    <n v="343000"/>
    <n v="396508"/>
    <x v="2"/>
    <n v="12"/>
    <s v="December"/>
    <x v="0"/>
  </r>
  <r>
    <x v="0"/>
    <x v="0"/>
    <x v="1"/>
    <x v="2"/>
    <n v="488"/>
    <n v="5"/>
    <n v="7"/>
    <n v="5856"/>
    <n v="273.27999999999997"/>
    <x v="357"/>
    <n v="2440"/>
    <n v="3142.7200000000003"/>
    <x v="8"/>
    <n v="2"/>
    <s v="February"/>
    <x v="0"/>
  </r>
  <r>
    <x v="0"/>
    <x v="4"/>
    <x v="1"/>
    <x v="2"/>
    <n v="1282"/>
    <n v="5"/>
    <n v="20"/>
    <n v="32050"/>
    <n v="2051.1999999999998"/>
    <x v="358"/>
    <n v="12820"/>
    <n v="17178.8"/>
    <x v="1"/>
    <n v="6"/>
    <s v="June"/>
    <x v="0"/>
  </r>
  <r>
    <x v="0"/>
    <x v="0"/>
    <x v="2"/>
    <x v="2"/>
    <n v="257"/>
    <n v="10"/>
    <n v="7"/>
    <n v="4369"/>
    <n v="143.91999999999999"/>
    <x v="359"/>
    <n v="1285"/>
    <n v="2940.08"/>
    <x v="14"/>
    <n v="5"/>
    <s v="May"/>
    <x v="0"/>
  </r>
  <r>
    <x v="0"/>
    <x v="4"/>
    <x v="5"/>
    <x v="2"/>
    <n v="1282"/>
    <n v="260"/>
    <n v="20"/>
    <n v="358960"/>
    <n v="2051.1999999999998"/>
    <x v="360"/>
    <n v="12820"/>
    <n v="344088.8"/>
    <x v="1"/>
    <n v="6"/>
    <s v="June"/>
    <x v="0"/>
  </r>
  <r>
    <x v="3"/>
    <x v="3"/>
    <x v="0"/>
    <x v="2"/>
    <n v="1540"/>
    <n v="3"/>
    <n v="125"/>
    <n v="197120"/>
    <n v="15400"/>
    <x v="361"/>
    <n v="184800"/>
    <n v="-3080"/>
    <x v="5"/>
    <n v="8"/>
    <s v="August"/>
    <x v="0"/>
  </r>
  <r>
    <x v="1"/>
    <x v="2"/>
    <x v="0"/>
    <x v="2"/>
    <n v="490"/>
    <n v="3"/>
    <n v="15"/>
    <n v="8820"/>
    <n v="588"/>
    <x v="362"/>
    <n v="4900"/>
    <n v="3332"/>
    <x v="15"/>
    <n v="11"/>
    <s v="November"/>
    <x v="0"/>
  </r>
  <r>
    <x v="0"/>
    <x v="3"/>
    <x v="0"/>
    <x v="2"/>
    <n v="1362"/>
    <n v="3"/>
    <n v="350"/>
    <n v="480786"/>
    <n v="38136"/>
    <x v="363"/>
    <n v="354120"/>
    <n v="88530"/>
    <x v="2"/>
    <n v="12"/>
    <s v="December"/>
    <x v="0"/>
  </r>
  <r>
    <x v="1"/>
    <x v="2"/>
    <x v="1"/>
    <x v="2"/>
    <n v="2501"/>
    <n v="5"/>
    <n v="15"/>
    <n v="50020"/>
    <n v="3001.2"/>
    <x v="364"/>
    <n v="25010"/>
    <n v="22008.800000000003"/>
    <x v="3"/>
    <n v="3"/>
    <s v="March"/>
    <x v="0"/>
  </r>
  <r>
    <x v="0"/>
    <x v="0"/>
    <x v="1"/>
    <x v="2"/>
    <n v="708"/>
    <n v="5"/>
    <n v="20"/>
    <n v="17700"/>
    <n v="1132.8"/>
    <x v="365"/>
    <n v="7080"/>
    <n v="9487.2000000000007"/>
    <x v="1"/>
    <n v="6"/>
    <s v="June"/>
    <x v="0"/>
  </r>
  <r>
    <x v="0"/>
    <x v="1"/>
    <x v="1"/>
    <x v="2"/>
    <n v="645"/>
    <n v="5"/>
    <n v="20"/>
    <n v="16125"/>
    <n v="1032"/>
    <x v="366"/>
    <n v="6450"/>
    <n v="8643"/>
    <x v="4"/>
    <n v="7"/>
    <s v="July"/>
    <x v="0"/>
  </r>
  <r>
    <x v="4"/>
    <x v="2"/>
    <x v="1"/>
    <x v="2"/>
    <n v="1562"/>
    <n v="5"/>
    <n v="300"/>
    <n v="476410"/>
    <n v="37488"/>
    <x v="367"/>
    <n v="390500"/>
    <n v="48422"/>
    <x v="5"/>
    <n v="8"/>
    <s v="August"/>
    <x v="0"/>
  </r>
  <r>
    <x v="4"/>
    <x v="0"/>
    <x v="1"/>
    <x v="2"/>
    <n v="1283"/>
    <n v="5"/>
    <n v="300"/>
    <n v="391315"/>
    <n v="30792"/>
    <x v="368"/>
    <n v="320750"/>
    <n v="39773"/>
    <x v="9"/>
    <n v="9"/>
    <s v="September"/>
    <x v="1"/>
  </r>
  <r>
    <x v="1"/>
    <x v="1"/>
    <x v="1"/>
    <x v="2"/>
    <n v="711"/>
    <n v="5"/>
    <n v="15"/>
    <n v="14220"/>
    <n v="853.2"/>
    <x v="369"/>
    <n v="7110"/>
    <n v="6256.7999999999993"/>
    <x v="2"/>
    <n v="12"/>
    <s v="December"/>
    <x v="0"/>
  </r>
  <r>
    <x v="3"/>
    <x v="3"/>
    <x v="2"/>
    <x v="2"/>
    <n v="1114"/>
    <n v="10"/>
    <n v="125"/>
    <n v="150390"/>
    <n v="11140"/>
    <x v="370"/>
    <n v="133680"/>
    <n v="5570"/>
    <x v="3"/>
    <n v="3"/>
    <s v="March"/>
    <x v="0"/>
  </r>
  <r>
    <x v="0"/>
    <x v="1"/>
    <x v="2"/>
    <x v="2"/>
    <n v="1259"/>
    <n v="10"/>
    <n v="7"/>
    <n v="21403"/>
    <n v="705.04"/>
    <x v="371"/>
    <n v="6295"/>
    <n v="14402.96"/>
    <x v="13"/>
    <n v="4"/>
    <s v="April"/>
    <x v="0"/>
  </r>
  <r>
    <x v="0"/>
    <x v="1"/>
    <x v="2"/>
    <x v="2"/>
    <n v="1095"/>
    <n v="10"/>
    <n v="7"/>
    <n v="18615"/>
    <n v="613.20000000000005"/>
    <x v="372"/>
    <n v="5475"/>
    <n v="12526.8"/>
    <x v="14"/>
    <n v="5"/>
    <s v="May"/>
    <x v="0"/>
  </r>
  <r>
    <x v="0"/>
    <x v="1"/>
    <x v="2"/>
    <x v="2"/>
    <n v="1366"/>
    <n v="10"/>
    <n v="20"/>
    <n v="40980"/>
    <n v="2185.6"/>
    <x v="373"/>
    <n v="13660"/>
    <n v="25134.400000000001"/>
    <x v="1"/>
    <n v="6"/>
    <s v="June"/>
    <x v="0"/>
  </r>
  <r>
    <x v="4"/>
    <x v="3"/>
    <x v="2"/>
    <x v="2"/>
    <n v="2460"/>
    <n v="10"/>
    <n v="300"/>
    <n v="762600"/>
    <n v="59040"/>
    <x v="374"/>
    <n v="615000"/>
    <n v="88560"/>
    <x v="1"/>
    <n v="6"/>
    <s v="June"/>
    <x v="0"/>
  </r>
  <r>
    <x v="0"/>
    <x v="4"/>
    <x v="2"/>
    <x v="2"/>
    <n v="678"/>
    <n v="10"/>
    <n v="7"/>
    <n v="11526"/>
    <n v="379.68"/>
    <x v="375"/>
    <n v="3390"/>
    <n v="7756.32"/>
    <x v="5"/>
    <n v="8"/>
    <s v="August"/>
    <x v="0"/>
  </r>
  <r>
    <x v="0"/>
    <x v="1"/>
    <x v="2"/>
    <x v="2"/>
    <n v="1598"/>
    <n v="10"/>
    <n v="7"/>
    <n v="27166"/>
    <n v="894.88"/>
    <x v="376"/>
    <n v="7990"/>
    <n v="18281.12"/>
    <x v="5"/>
    <n v="8"/>
    <s v="August"/>
    <x v="0"/>
  </r>
  <r>
    <x v="0"/>
    <x v="1"/>
    <x v="2"/>
    <x v="2"/>
    <n v="2409"/>
    <n v="10"/>
    <n v="7"/>
    <n v="40953"/>
    <n v="1349.04"/>
    <x v="377"/>
    <n v="12045"/>
    <n v="27558.959999999999"/>
    <x v="9"/>
    <n v="9"/>
    <s v="September"/>
    <x v="1"/>
  </r>
  <r>
    <x v="0"/>
    <x v="1"/>
    <x v="2"/>
    <x v="2"/>
    <n v="1934"/>
    <n v="10"/>
    <n v="20"/>
    <n v="58020"/>
    <n v="3094.4"/>
    <x v="378"/>
    <n v="19340"/>
    <n v="35585.599999999999"/>
    <x v="6"/>
    <n v="9"/>
    <s v="September"/>
    <x v="0"/>
  </r>
  <r>
    <x v="0"/>
    <x v="3"/>
    <x v="2"/>
    <x v="2"/>
    <n v="2993"/>
    <n v="10"/>
    <n v="20"/>
    <n v="89790"/>
    <n v="4788.8"/>
    <x v="379"/>
    <n v="29930"/>
    <n v="55071.199999999997"/>
    <x v="6"/>
    <n v="9"/>
    <s v="September"/>
    <x v="0"/>
  </r>
  <r>
    <x v="0"/>
    <x v="1"/>
    <x v="2"/>
    <x v="2"/>
    <n v="2146"/>
    <n v="10"/>
    <n v="350"/>
    <n v="772560"/>
    <n v="60088"/>
    <x v="380"/>
    <n v="557960"/>
    <n v="154512"/>
    <x v="11"/>
    <n v="11"/>
    <s v="November"/>
    <x v="1"/>
  </r>
  <r>
    <x v="0"/>
    <x v="3"/>
    <x v="2"/>
    <x v="2"/>
    <n v="1946"/>
    <n v="10"/>
    <n v="7"/>
    <n v="33082"/>
    <n v="1089.76"/>
    <x v="381"/>
    <n v="9730"/>
    <n v="22262.240000000002"/>
    <x v="12"/>
    <n v="12"/>
    <s v="December"/>
    <x v="1"/>
  </r>
  <r>
    <x v="0"/>
    <x v="3"/>
    <x v="2"/>
    <x v="2"/>
    <n v="1362"/>
    <n v="10"/>
    <n v="350"/>
    <n v="490320"/>
    <n v="38136"/>
    <x v="382"/>
    <n v="354120"/>
    <n v="98064"/>
    <x v="2"/>
    <n v="12"/>
    <s v="December"/>
    <x v="0"/>
  </r>
  <r>
    <x v="2"/>
    <x v="0"/>
    <x v="3"/>
    <x v="2"/>
    <n v="598"/>
    <n v="120"/>
    <n v="12"/>
    <n v="78936"/>
    <n v="574.08000000000004"/>
    <x v="383"/>
    <n v="1794"/>
    <n v="76567.92"/>
    <x v="3"/>
    <n v="3"/>
    <s v="March"/>
    <x v="0"/>
  </r>
  <r>
    <x v="0"/>
    <x v="4"/>
    <x v="3"/>
    <x v="2"/>
    <n v="2907"/>
    <n v="120"/>
    <n v="7"/>
    <n v="369189"/>
    <n v="1627.92"/>
    <x v="384"/>
    <n v="14535"/>
    <n v="353026.08"/>
    <x v="1"/>
    <n v="6"/>
    <s v="June"/>
    <x v="0"/>
  </r>
  <r>
    <x v="0"/>
    <x v="1"/>
    <x v="3"/>
    <x v="2"/>
    <n v="2338"/>
    <n v="120"/>
    <n v="7"/>
    <n v="296926"/>
    <n v="1309.28"/>
    <x v="385"/>
    <n v="11690"/>
    <n v="283926.71999999997"/>
    <x v="1"/>
    <n v="6"/>
    <s v="June"/>
    <x v="0"/>
  </r>
  <r>
    <x v="4"/>
    <x v="2"/>
    <x v="3"/>
    <x v="2"/>
    <n v="386"/>
    <n v="120"/>
    <n v="300"/>
    <n v="162120"/>
    <n v="9264"/>
    <x v="386"/>
    <n v="96500"/>
    <n v="56356"/>
    <x v="11"/>
    <n v="11"/>
    <s v="November"/>
    <x v="1"/>
  </r>
  <r>
    <x v="4"/>
    <x v="3"/>
    <x v="3"/>
    <x v="2"/>
    <n v="635"/>
    <n v="120"/>
    <n v="300"/>
    <n v="266700"/>
    <n v="15240"/>
    <x v="387"/>
    <n v="158750"/>
    <n v="92710"/>
    <x v="2"/>
    <n v="12"/>
    <s v="December"/>
    <x v="0"/>
  </r>
  <r>
    <x v="0"/>
    <x v="2"/>
    <x v="4"/>
    <x v="2"/>
    <n v="574.5"/>
    <n v="250"/>
    <n v="350"/>
    <n v="344700"/>
    <n v="16086"/>
    <x v="388"/>
    <n v="149370"/>
    <n v="179244"/>
    <x v="13"/>
    <n v="4"/>
    <s v="April"/>
    <x v="0"/>
  </r>
  <r>
    <x v="0"/>
    <x v="1"/>
    <x v="4"/>
    <x v="2"/>
    <n v="2338"/>
    <n v="250"/>
    <n v="7"/>
    <n v="600866"/>
    <n v="1309.28"/>
    <x v="389"/>
    <n v="11690"/>
    <n v="587866.72"/>
    <x v="1"/>
    <n v="6"/>
    <s v="June"/>
    <x v="0"/>
  </r>
  <r>
    <x v="0"/>
    <x v="2"/>
    <x v="4"/>
    <x v="2"/>
    <n v="381"/>
    <n v="250"/>
    <n v="350"/>
    <n v="228600"/>
    <n v="10668"/>
    <x v="390"/>
    <n v="99060"/>
    <n v="118872"/>
    <x v="5"/>
    <n v="8"/>
    <s v="August"/>
    <x v="0"/>
  </r>
  <r>
    <x v="0"/>
    <x v="1"/>
    <x v="4"/>
    <x v="2"/>
    <n v="422"/>
    <n v="250"/>
    <n v="350"/>
    <n v="253200"/>
    <n v="11816"/>
    <x v="391"/>
    <n v="109720"/>
    <n v="131664"/>
    <x v="5"/>
    <n v="8"/>
    <s v="August"/>
    <x v="0"/>
  </r>
  <r>
    <x v="4"/>
    <x v="0"/>
    <x v="4"/>
    <x v="2"/>
    <n v="2134"/>
    <n v="250"/>
    <n v="300"/>
    <n v="1173700"/>
    <n v="51216"/>
    <x v="392"/>
    <n v="533500"/>
    <n v="588984"/>
    <x v="6"/>
    <n v="9"/>
    <s v="September"/>
    <x v="0"/>
  </r>
  <r>
    <x v="4"/>
    <x v="4"/>
    <x v="4"/>
    <x v="2"/>
    <n v="808"/>
    <n v="250"/>
    <n v="300"/>
    <n v="444400"/>
    <n v="19392"/>
    <x v="393"/>
    <n v="202000"/>
    <n v="223008"/>
    <x v="12"/>
    <n v="12"/>
    <s v="December"/>
    <x v="1"/>
  </r>
  <r>
    <x v="0"/>
    <x v="0"/>
    <x v="5"/>
    <x v="2"/>
    <n v="708"/>
    <n v="260"/>
    <n v="20"/>
    <n v="198240"/>
    <n v="1132.8"/>
    <x v="394"/>
    <n v="7080"/>
    <n v="190027.2"/>
    <x v="1"/>
    <n v="6"/>
    <s v="June"/>
    <x v="0"/>
  </r>
  <r>
    <x v="0"/>
    <x v="4"/>
    <x v="5"/>
    <x v="2"/>
    <n v="2907"/>
    <n v="260"/>
    <n v="7"/>
    <n v="776169"/>
    <n v="1627.92"/>
    <x v="395"/>
    <n v="14535"/>
    <n v="760006.08"/>
    <x v="1"/>
    <n v="6"/>
    <s v="June"/>
    <x v="0"/>
  </r>
  <r>
    <x v="0"/>
    <x v="1"/>
    <x v="5"/>
    <x v="2"/>
    <n v="1366"/>
    <n v="260"/>
    <n v="20"/>
    <n v="382480"/>
    <n v="2185.6"/>
    <x v="396"/>
    <n v="13660"/>
    <n v="366634.4"/>
    <x v="1"/>
    <n v="6"/>
    <s v="June"/>
    <x v="0"/>
  </r>
  <r>
    <x v="4"/>
    <x v="3"/>
    <x v="5"/>
    <x v="2"/>
    <n v="2460"/>
    <n v="260"/>
    <n v="300"/>
    <n v="1377600"/>
    <n v="59040"/>
    <x v="397"/>
    <n v="615000"/>
    <n v="703560"/>
    <x v="1"/>
    <n v="6"/>
    <s v="June"/>
    <x v="0"/>
  </r>
  <r>
    <x v="0"/>
    <x v="1"/>
    <x v="5"/>
    <x v="2"/>
    <n v="1520"/>
    <n v="260"/>
    <n v="20"/>
    <n v="425600"/>
    <n v="2432"/>
    <x v="398"/>
    <n v="15200"/>
    <n v="407968"/>
    <x v="15"/>
    <n v="11"/>
    <s v="November"/>
    <x v="0"/>
  </r>
  <r>
    <x v="1"/>
    <x v="1"/>
    <x v="5"/>
    <x v="2"/>
    <n v="711"/>
    <n v="260"/>
    <n v="15"/>
    <n v="195525"/>
    <n v="853.2"/>
    <x v="399"/>
    <n v="7110"/>
    <n v="187561.8"/>
    <x v="2"/>
    <n v="12"/>
    <s v="December"/>
    <x v="0"/>
  </r>
  <r>
    <x v="2"/>
    <x v="3"/>
    <x v="5"/>
    <x v="2"/>
    <n v="1375"/>
    <n v="260"/>
    <n v="12"/>
    <n v="374000"/>
    <n v="1320"/>
    <x v="400"/>
    <n v="4125"/>
    <n v="368555"/>
    <x v="12"/>
    <n v="12"/>
    <s v="December"/>
    <x v="1"/>
  </r>
  <r>
    <x v="4"/>
    <x v="3"/>
    <x v="5"/>
    <x v="2"/>
    <n v="635"/>
    <n v="260"/>
    <n v="300"/>
    <n v="355600"/>
    <n v="15240"/>
    <x v="401"/>
    <n v="158750"/>
    <n v="181610"/>
    <x v="2"/>
    <n v="12"/>
    <s v="December"/>
    <x v="0"/>
  </r>
  <r>
    <x v="0"/>
    <x v="4"/>
    <x v="4"/>
    <x v="2"/>
    <n v="436.5"/>
    <n v="250"/>
    <n v="20"/>
    <n v="117855"/>
    <n v="698.40000000000009"/>
    <x v="402"/>
    <n v="4365"/>
    <n v="112791.6"/>
    <x v="4"/>
    <n v="7"/>
    <s v="July"/>
    <x v="0"/>
  </r>
  <r>
    <x v="4"/>
    <x v="0"/>
    <x v="0"/>
    <x v="2"/>
    <n v="1094"/>
    <n v="3"/>
    <n v="300"/>
    <n v="331482"/>
    <n v="29538"/>
    <x v="403"/>
    <n v="273500"/>
    <n v="28444"/>
    <x v="1"/>
    <n v="6"/>
    <s v="June"/>
    <x v="0"/>
  </r>
  <r>
    <x v="2"/>
    <x v="3"/>
    <x v="0"/>
    <x v="2"/>
    <n v="367"/>
    <n v="3"/>
    <n v="12"/>
    <n v="5505"/>
    <n v="396.36"/>
    <x v="404"/>
    <n v="1101"/>
    <n v="4007.6400000000003"/>
    <x v="7"/>
    <n v="10"/>
    <s v="October"/>
    <x v="1"/>
  </r>
  <r>
    <x v="4"/>
    <x v="0"/>
    <x v="1"/>
    <x v="2"/>
    <n v="3802.5"/>
    <n v="5"/>
    <n v="300"/>
    <n v="1159762.5"/>
    <n v="102667.5"/>
    <x v="405"/>
    <n v="950625"/>
    <n v="106470"/>
    <x v="13"/>
    <n v="4"/>
    <s v="April"/>
    <x v="0"/>
  </r>
  <r>
    <x v="0"/>
    <x v="2"/>
    <x v="1"/>
    <x v="2"/>
    <n v="1666"/>
    <n v="5"/>
    <n v="350"/>
    <n v="591430"/>
    <n v="52479"/>
    <x v="406"/>
    <n v="433160"/>
    <n v="105791"/>
    <x v="14"/>
    <n v="5"/>
    <s v="May"/>
    <x v="0"/>
  </r>
  <r>
    <x v="4"/>
    <x v="2"/>
    <x v="1"/>
    <x v="2"/>
    <n v="322"/>
    <n v="5"/>
    <n v="300"/>
    <n v="98210"/>
    <n v="8694"/>
    <x v="407"/>
    <n v="80500"/>
    <n v="9016"/>
    <x v="9"/>
    <n v="9"/>
    <s v="September"/>
    <x v="1"/>
  </r>
  <r>
    <x v="2"/>
    <x v="0"/>
    <x v="1"/>
    <x v="2"/>
    <n v="2321"/>
    <n v="5"/>
    <n v="12"/>
    <n v="39457"/>
    <n v="2506.6799999999998"/>
    <x v="408"/>
    <n v="6963"/>
    <n v="29987.32"/>
    <x v="15"/>
    <n v="11"/>
    <s v="November"/>
    <x v="0"/>
  </r>
  <r>
    <x v="3"/>
    <x v="2"/>
    <x v="1"/>
    <x v="2"/>
    <n v="1857"/>
    <n v="5"/>
    <n v="125"/>
    <n v="241410"/>
    <n v="20891.25"/>
    <x v="409"/>
    <n v="222840"/>
    <n v="-2321.25"/>
    <x v="11"/>
    <n v="11"/>
    <s v="November"/>
    <x v="1"/>
  </r>
  <r>
    <x v="0"/>
    <x v="0"/>
    <x v="1"/>
    <x v="2"/>
    <n v="1611"/>
    <n v="5"/>
    <n v="7"/>
    <n v="19332"/>
    <n v="1014.93"/>
    <x v="410"/>
    <n v="8055"/>
    <n v="10262.07"/>
    <x v="12"/>
    <n v="12"/>
    <s v="December"/>
    <x v="1"/>
  </r>
  <r>
    <x v="3"/>
    <x v="4"/>
    <x v="1"/>
    <x v="2"/>
    <n v="2797"/>
    <n v="5"/>
    <n v="125"/>
    <n v="363610"/>
    <n v="31466.25"/>
    <x v="411"/>
    <n v="335640"/>
    <n v="-3496.25"/>
    <x v="2"/>
    <n v="12"/>
    <s v="December"/>
    <x v="0"/>
  </r>
  <r>
    <x v="4"/>
    <x v="1"/>
    <x v="1"/>
    <x v="2"/>
    <n v="334"/>
    <n v="5"/>
    <n v="300"/>
    <n v="101870"/>
    <n v="9018"/>
    <x v="412"/>
    <n v="83500"/>
    <n v="9352"/>
    <x v="12"/>
    <n v="12"/>
    <s v="December"/>
    <x v="1"/>
  </r>
  <r>
    <x v="4"/>
    <x v="3"/>
    <x v="2"/>
    <x v="2"/>
    <n v="2565"/>
    <n v="10"/>
    <n v="300"/>
    <n v="795150"/>
    <n v="69255"/>
    <x v="413"/>
    <n v="641250"/>
    <n v="84645"/>
    <x v="0"/>
    <n v="1"/>
    <s v="January"/>
    <x v="0"/>
  </r>
  <r>
    <x v="0"/>
    <x v="3"/>
    <x v="2"/>
    <x v="2"/>
    <n v="2417"/>
    <n v="10"/>
    <n v="350"/>
    <n v="870120"/>
    <n v="76135.5"/>
    <x v="414"/>
    <n v="628420"/>
    <n v="165564.5"/>
    <x v="0"/>
    <n v="1"/>
    <s v="January"/>
    <x v="0"/>
  </r>
  <r>
    <x v="1"/>
    <x v="4"/>
    <x v="2"/>
    <x v="2"/>
    <n v="3675"/>
    <n v="10"/>
    <n v="15"/>
    <n v="91875"/>
    <n v="4961.25"/>
    <x v="415"/>
    <n v="36750"/>
    <n v="50163.75"/>
    <x v="13"/>
    <n v="4"/>
    <s v="April"/>
    <x v="0"/>
  </r>
  <r>
    <x v="4"/>
    <x v="0"/>
    <x v="2"/>
    <x v="2"/>
    <n v="1094"/>
    <n v="10"/>
    <n v="300"/>
    <n v="339140"/>
    <n v="29538"/>
    <x v="416"/>
    <n v="273500"/>
    <n v="36102"/>
    <x v="1"/>
    <n v="6"/>
    <s v="June"/>
    <x v="0"/>
  </r>
  <r>
    <x v="1"/>
    <x v="2"/>
    <x v="2"/>
    <x v="2"/>
    <n v="1227"/>
    <n v="10"/>
    <n v="15"/>
    <n v="30675"/>
    <n v="1656.45"/>
    <x v="417"/>
    <n v="12270"/>
    <n v="16748.55"/>
    <x v="10"/>
    <n v="10"/>
    <s v="October"/>
    <x v="0"/>
  </r>
  <r>
    <x v="2"/>
    <x v="3"/>
    <x v="2"/>
    <x v="2"/>
    <n v="367"/>
    <n v="10"/>
    <n v="12"/>
    <n v="8074"/>
    <n v="396.36"/>
    <x v="418"/>
    <n v="1101"/>
    <n v="6576.64"/>
    <x v="7"/>
    <n v="10"/>
    <s v="October"/>
    <x v="1"/>
  </r>
  <r>
    <x v="4"/>
    <x v="2"/>
    <x v="2"/>
    <x v="2"/>
    <n v="1324"/>
    <n v="10"/>
    <n v="300"/>
    <n v="410440"/>
    <n v="35748"/>
    <x v="419"/>
    <n v="331000"/>
    <n v="43692"/>
    <x v="15"/>
    <n v="11"/>
    <s v="November"/>
    <x v="0"/>
  </r>
  <r>
    <x v="2"/>
    <x v="1"/>
    <x v="2"/>
    <x v="2"/>
    <n v="1775"/>
    <n v="10"/>
    <n v="12"/>
    <n v="39050"/>
    <n v="1917"/>
    <x v="420"/>
    <n v="5325"/>
    <n v="31808"/>
    <x v="11"/>
    <n v="11"/>
    <s v="November"/>
    <x v="1"/>
  </r>
  <r>
    <x v="3"/>
    <x v="4"/>
    <x v="2"/>
    <x v="2"/>
    <n v="2797"/>
    <n v="10"/>
    <n v="125"/>
    <n v="377595"/>
    <n v="31466.25"/>
    <x v="421"/>
    <n v="335640"/>
    <n v="10488.75"/>
    <x v="2"/>
    <n v="12"/>
    <s v="December"/>
    <x v="0"/>
  </r>
  <r>
    <x v="1"/>
    <x v="3"/>
    <x v="3"/>
    <x v="2"/>
    <n v="245"/>
    <n v="120"/>
    <n v="15"/>
    <n v="33075"/>
    <n v="330.75"/>
    <x v="422"/>
    <n v="2450"/>
    <n v="30294.25"/>
    <x v="14"/>
    <n v="5"/>
    <s v="May"/>
    <x v="0"/>
  </r>
  <r>
    <x v="4"/>
    <x v="0"/>
    <x v="3"/>
    <x v="2"/>
    <n v="3793.5"/>
    <n v="120"/>
    <n v="300"/>
    <n v="1593270"/>
    <n v="102424.5"/>
    <x v="423"/>
    <n v="948375"/>
    <n v="542470.5"/>
    <x v="4"/>
    <n v="7"/>
    <s v="July"/>
    <x v="0"/>
  </r>
  <r>
    <x v="0"/>
    <x v="1"/>
    <x v="3"/>
    <x v="2"/>
    <n v="1307"/>
    <n v="120"/>
    <n v="350"/>
    <n v="614290"/>
    <n v="41170.5"/>
    <x v="424"/>
    <n v="339820"/>
    <n v="233299.5"/>
    <x v="4"/>
    <n v="7"/>
    <s v="July"/>
    <x v="0"/>
  </r>
  <r>
    <x v="3"/>
    <x v="0"/>
    <x v="3"/>
    <x v="2"/>
    <n v="567"/>
    <n v="120"/>
    <n v="125"/>
    <n v="138915"/>
    <n v="6378.75"/>
    <x v="425"/>
    <n v="68040"/>
    <n v="64496.25"/>
    <x v="6"/>
    <n v="9"/>
    <s v="September"/>
    <x v="0"/>
  </r>
  <r>
    <x v="3"/>
    <x v="3"/>
    <x v="3"/>
    <x v="2"/>
    <n v="2110"/>
    <n v="120"/>
    <n v="125"/>
    <n v="516950"/>
    <n v="23737.5"/>
    <x v="426"/>
    <n v="253200"/>
    <n v="240012.5"/>
    <x v="6"/>
    <n v="9"/>
    <s v="September"/>
    <x v="0"/>
  </r>
  <r>
    <x v="0"/>
    <x v="0"/>
    <x v="3"/>
    <x v="2"/>
    <n v="1269"/>
    <n v="120"/>
    <n v="350"/>
    <n v="596430"/>
    <n v="39973.5"/>
    <x v="427"/>
    <n v="329940"/>
    <n v="226516.5"/>
    <x v="10"/>
    <n v="10"/>
    <s v="October"/>
    <x v="0"/>
  </r>
  <r>
    <x v="2"/>
    <x v="4"/>
    <x v="4"/>
    <x v="2"/>
    <n v="1956"/>
    <n v="250"/>
    <n v="12"/>
    <n v="512472"/>
    <n v="2112.48"/>
    <x v="428"/>
    <n v="5868"/>
    <n v="504491.52000000002"/>
    <x v="0"/>
    <n v="1"/>
    <s v="January"/>
    <x v="0"/>
  </r>
  <r>
    <x v="4"/>
    <x v="1"/>
    <x v="4"/>
    <x v="2"/>
    <n v="2659"/>
    <n v="250"/>
    <n v="300"/>
    <n v="1462450"/>
    <n v="71793"/>
    <x v="429"/>
    <n v="664750"/>
    <n v="725907"/>
    <x v="8"/>
    <n v="2"/>
    <s v="February"/>
    <x v="0"/>
  </r>
  <r>
    <x v="0"/>
    <x v="4"/>
    <x v="4"/>
    <x v="2"/>
    <n v="1351.5"/>
    <n v="250"/>
    <n v="350"/>
    <n v="810900"/>
    <n v="42572.25"/>
    <x v="430"/>
    <n v="351390"/>
    <n v="416937.75"/>
    <x v="13"/>
    <n v="4"/>
    <s v="April"/>
    <x v="0"/>
  </r>
  <r>
    <x v="2"/>
    <x v="1"/>
    <x v="4"/>
    <x v="2"/>
    <n v="880"/>
    <n v="250"/>
    <n v="12"/>
    <n v="230560"/>
    <n v="950.4"/>
    <x v="431"/>
    <n v="2640"/>
    <n v="226969.60000000001"/>
    <x v="14"/>
    <n v="5"/>
    <s v="May"/>
    <x v="0"/>
  </r>
  <r>
    <x v="4"/>
    <x v="4"/>
    <x v="4"/>
    <x v="2"/>
    <n v="1867"/>
    <n v="250"/>
    <n v="300"/>
    <n v="1026850"/>
    <n v="50409"/>
    <x v="432"/>
    <n v="466750"/>
    <n v="509691"/>
    <x v="6"/>
    <n v="9"/>
    <s v="September"/>
    <x v="0"/>
  </r>
  <r>
    <x v="2"/>
    <x v="2"/>
    <x v="4"/>
    <x v="2"/>
    <n v="2234"/>
    <n v="250"/>
    <n v="12"/>
    <n v="585308"/>
    <n v="2412.7199999999998"/>
    <x v="433"/>
    <n v="6702"/>
    <n v="576193.28000000003"/>
    <x v="9"/>
    <n v="9"/>
    <s v="September"/>
    <x v="1"/>
  </r>
  <r>
    <x v="1"/>
    <x v="2"/>
    <x v="4"/>
    <x v="2"/>
    <n v="1227"/>
    <n v="250"/>
    <n v="15"/>
    <n v="325155"/>
    <n v="1656.45"/>
    <x v="434"/>
    <n v="12270"/>
    <n v="311228.55"/>
    <x v="10"/>
    <n v="10"/>
    <s v="October"/>
    <x v="0"/>
  </r>
  <r>
    <x v="3"/>
    <x v="3"/>
    <x v="4"/>
    <x v="2"/>
    <n v="877"/>
    <n v="250"/>
    <n v="125"/>
    <n v="328875"/>
    <n v="9866.25"/>
    <x v="435"/>
    <n v="105240"/>
    <n v="213768.75"/>
    <x v="15"/>
    <n v="11"/>
    <s v="November"/>
    <x v="0"/>
  </r>
  <r>
    <x v="0"/>
    <x v="4"/>
    <x v="5"/>
    <x v="2"/>
    <n v="2071"/>
    <n v="260"/>
    <n v="350"/>
    <n v="1263310"/>
    <n v="65236.5"/>
    <x v="436"/>
    <n v="538460"/>
    <n v="659613.5"/>
    <x v="6"/>
    <n v="9"/>
    <s v="September"/>
    <x v="0"/>
  </r>
  <r>
    <x v="0"/>
    <x v="0"/>
    <x v="5"/>
    <x v="2"/>
    <n v="1269"/>
    <n v="260"/>
    <n v="350"/>
    <n v="774090"/>
    <n v="39973.5"/>
    <x v="437"/>
    <n v="329940"/>
    <n v="404176.5"/>
    <x v="10"/>
    <n v="10"/>
    <s v="October"/>
    <x v="0"/>
  </r>
  <r>
    <x v="1"/>
    <x v="1"/>
    <x v="5"/>
    <x v="2"/>
    <n v="970"/>
    <n v="260"/>
    <n v="15"/>
    <n v="266750"/>
    <n v="1309.5"/>
    <x v="438"/>
    <n v="9700"/>
    <n v="255740.5"/>
    <x v="11"/>
    <n v="11"/>
    <s v="November"/>
    <x v="1"/>
  </r>
  <r>
    <x v="0"/>
    <x v="3"/>
    <x v="5"/>
    <x v="2"/>
    <n v="1694"/>
    <n v="260"/>
    <n v="20"/>
    <n v="474320"/>
    <n v="3049.2"/>
    <x v="439"/>
    <n v="16940"/>
    <n v="454330.8"/>
    <x v="15"/>
    <n v="11"/>
    <s v="November"/>
    <x v="0"/>
  </r>
  <r>
    <x v="0"/>
    <x v="1"/>
    <x v="0"/>
    <x v="2"/>
    <n v="663"/>
    <n v="3"/>
    <n v="20"/>
    <n v="15249"/>
    <n v="1193.4000000000001"/>
    <x v="440"/>
    <n v="6630"/>
    <n v="7425.6"/>
    <x v="14"/>
    <n v="5"/>
    <s v="May"/>
    <x v="0"/>
  </r>
  <r>
    <x v="0"/>
    <x v="0"/>
    <x v="0"/>
    <x v="2"/>
    <n v="819"/>
    <n v="3"/>
    <n v="7"/>
    <n v="8190"/>
    <n v="515.97"/>
    <x v="441"/>
    <n v="4095"/>
    <n v="3579.0299999999997"/>
    <x v="4"/>
    <n v="7"/>
    <s v="July"/>
    <x v="0"/>
  </r>
  <r>
    <x v="2"/>
    <x v="1"/>
    <x v="0"/>
    <x v="2"/>
    <n v="1580"/>
    <n v="3"/>
    <n v="12"/>
    <n v="23700"/>
    <n v="1706.4"/>
    <x v="442"/>
    <n v="4740"/>
    <n v="17253.599999999999"/>
    <x v="6"/>
    <n v="9"/>
    <s v="September"/>
    <x v="0"/>
  </r>
  <r>
    <x v="0"/>
    <x v="3"/>
    <x v="0"/>
    <x v="2"/>
    <n v="521"/>
    <n v="3"/>
    <n v="7"/>
    <n v="5210"/>
    <n v="328.23"/>
    <x v="443"/>
    <n v="2605"/>
    <n v="2276.7700000000004"/>
    <x v="2"/>
    <n v="12"/>
    <s v="December"/>
    <x v="0"/>
  </r>
  <r>
    <x v="0"/>
    <x v="4"/>
    <x v="2"/>
    <x v="2"/>
    <n v="973"/>
    <n v="10"/>
    <n v="20"/>
    <n v="29190"/>
    <n v="1751.4"/>
    <x v="444"/>
    <n v="9730"/>
    <n v="17708.599999999999"/>
    <x v="3"/>
    <n v="3"/>
    <s v="March"/>
    <x v="0"/>
  </r>
  <r>
    <x v="0"/>
    <x v="3"/>
    <x v="2"/>
    <x v="2"/>
    <n v="1038"/>
    <n v="10"/>
    <n v="20"/>
    <n v="31140"/>
    <n v="1868.4"/>
    <x v="445"/>
    <n v="10380"/>
    <n v="18891.599999999999"/>
    <x v="1"/>
    <n v="6"/>
    <s v="June"/>
    <x v="0"/>
  </r>
  <r>
    <x v="0"/>
    <x v="1"/>
    <x v="2"/>
    <x v="2"/>
    <n v="360"/>
    <n v="10"/>
    <n v="7"/>
    <n v="6120"/>
    <n v="226.8"/>
    <x v="446"/>
    <n v="1800"/>
    <n v="4093.2"/>
    <x v="10"/>
    <n v="10"/>
    <s v="October"/>
    <x v="0"/>
  </r>
  <r>
    <x v="2"/>
    <x v="2"/>
    <x v="3"/>
    <x v="2"/>
    <n v="1967"/>
    <n v="120"/>
    <n v="12"/>
    <n v="259644"/>
    <n v="2124.36"/>
    <x v="447"/>
    <n v="5901"/>
    <n v="251618.64"/>
    <x v="3"/>
    <n v="3"/>
    <s v="March"/>
    <x v="0"/>
  </r>
  <r>
    <x v="1"/>
    <x v="3"/>
    <x v="3"/>
    <x v="2"/>
    <n v="2628"/>
    <n v="120"/>
    <n v="15"/>
    <n v="354780"/>
    <n v="3547.8"/>
    <x v="448"/>
    <n v="26280"/>
    <n v="324952.2"/>
    <x v="13"/>
    <n v="4"/>
    <s v="April"/>
    <x v="0"/>
  </r>
  <r>
    <x v="0"/>
    <x v="1"/>
    <x v="4"/>
    <x v="2"/>
    <n v="360"/>
    <n v="250"/>
    <n v="7"/>
    <n v="92520"/>
    <n v="226.8"/>
    <x v="449"/>
    <n v="1800"/>
    <n v="90493.2"/>
    <x v="10"/>
    <n v="10"/>
    <s v="October"/>
    <x v="0"/>
  </r>
  <r>
    <x v="0"/>
    <x v="2"/>
    <x v="4"/>
    <x v="2"/>
    <n v="2682"/>
    <n v="250"/>
    <n v="20"/>
    <n v="724140"/>
    <n v="4827.6000000000004"/>
    <x v="450"/>
    <n v="26820"/>
    <n v="692492.4"/>
    <x v="11"/>
    <n v="11"/>
    <s v="November"/>
    <x v="1"/>
  </r>
  <r>
    <x v="0"/>
    <x v="3"/>
    <x v="4"/>
    <x v="2"/>
    <n v="521"/>
    <n v="250"/>
    <n v="7"/>
    <n v="133897"/>
    <n v="328.23"/>
    <x v="451"/>
    <n v="2605"/>
    <n v="130963.76999999999"/>
    <x v="2"/>
    <n v="12"/>
    <s v="December"/>
    <x v="0"/>
  </r>
  <r>
    <x v="0"/>
    <x v="3"/>
    <x v="5"/>
    <x v="2"/>
    <n v="1038"/>
    <n v="260"/>
    <n v="20"/>
    <n v="290640"/>
    <n v="1868.4"/>
    <x v="452"/>
    <n v="10380"/>
    <n v="278391.59999999998"/>
    <x v="1"/>
    <n v="6"/>
    <s v="June"/>
    <x v="0"/>
  </r>
  <r>
    <x v="1"/>
    <x v="0"/>
    <x v="5"/>
    <x v="2"/>
    <n v="1630.5"/>
    <n v="260"/>
    <n v="15"/>
    <n v="448387.5"/>
    <n v="2201.1750000000002"/>
    <x v="453"/>
    <n v="16305"/>
    <n v="429881.32500000001"/>
    <x v="4"/>
    <n v="7"/>
    <s v="July"/>
    <x v="0"/>
  </r>
  <r>
    <x v="2"/>
    <x v="2"/>
    <x v="5"/>
    <x v="2"/>
    <n v="306"/>
    <n v="260"/>
    <n v="12"/>
    <n v="83232"/>
    <n v="330.48"/>
    <x v="454"/>
    <n v="918"/>
    <n v="81983.520000000004"/>
    <x v="12"/>
    <n v="12"/>
    <s v="December"/>
    <x v="1"/>
  </r>
  <r>
    <x v="2"/>
    <x v="4"/>
    <x v="0"/>
    <x v="3"/>
    <n v="386"/>
    <n v="3"/>
    <n v="12"/>
    <n v="5790"/>
    <n v="463.2"/>
    <x v="455"/>
    <n v="1158"/>
    <n v="4168.8"/>
    <x v="7"/>
    <n v="10"/>
    <s v="October"/>
    <x v="1"/>
  </r>
  <r>
    <x v="0"/>
    <x v="4"/>
    <x v="1"/>
    <x v="3"/>
    <n v="2328"/>
    <n v="5"/>
    <n v="7"/>
    <n v="27936"/>
    <n v="1629.6"/>
    <x v="456"/>
    <n v="11640"/>
    <n v="14666.400000000001"/>
    <x v="6"/>
    <n v="9"/>
    <s v="September"/>
    <x v="0"/>
  </r>
  <r>
    <x v="2"/>
    <x v="4"/>
    <x v="2"/>
    <x v="3"/>
    <n v="386"/>
    <n v="10"/>
    <n v="12"/>
    <n v="8492"/>
    <n v="463.2"/>
    <x v="457"/>
    <n v="1158"/>
    <n v="6870.8"/>
    <x v="7"/>
    <n v="10"/>
    <s v="October"/>
    <x v="1"/>
  </r>
  <r>
    <x v="3"/>
    <x v="4"/>
    <x v="0"/>
    <x v="3"/>
    <n v="3445.5"/>
    <n v="3"/>
    <n v="125"/>
    <n v="441024"/>
    <n v="43068.75"/>
    <x v="458"/>
    <n v="413460"/>
    <n v="-15504.75"/>
    <x v="13"/>
    <n v="4"/>
    <s v="April"/>
    <x v="0"/>
  </r>
  <r>
    <x v="3"/>
    <x v="2"/>
    <x v="0"/>
    <x v="3"/>
    <n v="1482"/>
    <n v="3"/>
    <n v="125"/>
    <n v="189696"/>
    <n v="18525"/>
    <x v="459"/>
    <n v="177840"/>
    <n v="-6669"/>
    <x v="12"/>
    <n v="12"/>
    <s v="December"/>
    <x v="1"/>
  </r>
  <r>
    <x v="0"/>
    <x v="4"/>
    <x v="1"/>
    <x v="3"/>
    <n v="2313"/>
    <n v="5"/>
    <n v="350"/>
    <n v="821115"/>
    <n v="80955"/>
    <x v="460"/>
    <n v="601380"/>
    <n v="138780"/>
    <x v="14"/>
    <n v="5"/>
    <s v="May"/>
    <x v="0"/>
  </r>
  <r>
    <x v="3"/>
    <x v="4"/>
    <x v="1"/>
    <x v="3"/>
    <n v="1804"/>
    <n v="5"/>
    <n v="125"/>
    <n v="234520"/>
    <n v="22550"/>
    <x v="461"/>
    <n v="216480"/>
    <n v="-4510"/>
    <x v="11"/>
    <n v="11"/>
    <s v="November"/>
    <x v="1"/>
  </r>
  <r>
    <x v="1"/>
    <x v="2"/>
    <x v="1"/>
    <x v="3"/>
    <n v="2072"/>
    <n v="5"/>
    <n v="15"/>
    <n v="41440"/>
    <n v="3108"/>
    <x v="462"/>
    <n v="20720"/>
    <n v="17612"/>
    <x v="2"/>
    <n v="12"/>
    <s v="December"/>
    <x v="0"/>
  </r>
  <r>
    <x v="0"/>
    <x v="2"/>
    <x v="2"/>
    <x v="3"/>
    <n v="1954"/>
    <n v="10"/>
    <n v="20"/>
    <n v="58620"/>
    <n v="3908"/>
    <x v="463"/>
    <n v="19540"/>
    <n v="35172"/>
    <x v="3"/>
    <n v="3"/>
    <s v="March"/>
    <x v="0"/>
  </r>
  <r>
    <x v="4"/>
    <x v="3"/>
    <x v="2"/>
    <x v="3"/>
    <n v="591"/>
    <n v="10"/>
    <n v="300"/>
    <n v="183210"/>
    <n v="17730"/>
    <x v="464"/>
    <n v="147750"/>
    <n v="17730"/>
    <x v="14"/>
    <n v="5"/>
    <s v="May"/>
    <x v="0"/>
  </r>
  <r>
    <x v="1"/>
    <x v="2"/>
    <x v="2"/>
    <x v="3"/>
    <n v="2167"/>
    <n v="10"/>
    <n v="15"/>
    <n v="54175"/>
    <n v="3250.5"/>
    <x v="465"/>
    <n v="21670"/>
    <n v="29254.5"/>
    <x v="7"/>
    <n v="10"/>
    <s v="October"/>
    <x v="1"/>
  </r>
  <r>
    <x v="0"/>
    <x v="1"/>
    <x v="2"/>
    <x v="3"/>
    <n v="241"/>
    <n v="10"/>
    <n v="20"/>
    <n v="7230"/>
    <n v="482"/>
    <x v="466"/>
    <n v="2410"/>
    <n v="4338"/>
    <x v="10"/>
    <n v="10"/>
    <s v="October"/>
    <x v="0"/>
  </r>
  <r>
    <x v="1"/>
    <x v="1"/>
    <x v="3"/>
    <x v="3"/>
    <n v="681"/>
    <n v="120"/>
    <n v="15"/>
    <n v="91935"/>
    <n v="1021.5"/>
    <x v="467"/>
    <n v="6810"/>
    <n v="84103.5"/>
    <x v="0"/>
    <n v="1"/>
    <s v="January"/>
    <x v="0"/>
  </r>
  <r>
    <x v="1"/>
    <x v="1"/>
    <x v="3"/>
    <x v="3"/>
    <n v="510"/>
    <n v="120"/>
    <n v="15"/>
    <n v="68850"/>
    <n v="765"/>
    <x v="468"/>
    <n v="5100"/>
    <n v="62985"/>
    <x v="13"/>
    <n v="4"/>
    <s v="April"/>
    <x v="0"/>
  </r>
  <r>
    <x v="1"/>
    <x v="4"/>
    <x v="3"/>
    <x v="3"/>
    <n v="790"/>
    <n v="120"/>
    <n v="15"/>
    <n v="106650"/>
    <n v="1185"/>
    <x v="469"/>
    <n v="7900"/>
    <n v="97565"/>
    <x v="14"/>
    <n v="5"/>
    <s v="May"/>
    <x v="0"/>
  </r>
  <r>
    <x v="0"/>
    <x v="2"/>
    <x v="3"/>
    <x v="3"/>
    <n v="639"/>
    <n v="120"/>
    <n v="350"/>
    <n v="300330"/>
    <n v="22365"/>
    <x v="470"/>
    <n v="166140"/>
    <n v="111825"/>
    <x v="4"/>
    <n v="7"/>
    <s v="July"/>
    <x v="0"/>
  </r>
  <r>
    <x v="3"/>
    <x v="4"/>
    <x v="3"/>
    <x v="3"/>
    <n v="1596"/>
    <n v="120"/>
    <n v="125"/>
    <n v="391020"/>
    <n v="19950"/>
    <x v="471"/>
    <n v="191520"/>
    <n v="179550"/>
    <x v="6"/>
    <n v="9"/>
    <s v="September"/>
    <x v="0"/>
  </r>
  <r>
    <x v="4"/>
    <x v="4"/>
    <x v="3"/>
    <x v="3"/>
    <n v="2294"/>
    <n v="120"/>
    <n v="300"/>
    <n v="963480"/>
    <n v="68820"/>
    <x v="472"/>
    <n v="573500"/>
    <n v="321160"/>
    <x v="7"/>
    <n v="10"/>
    <s v="October"/>
    <x v="1"/>
  </r>
  <r>
    <x v="0"/>
    <x v="1"/>
    <x v="3"/>
    <x v="3"/>
    <n v="241"/>
    <n v="120"/>
    <n v="20"/>
    <n v="33740"/>
    <n v="482"/>
    <x v="473"/>
    <n v="2410"/>
    <n v="30848"/>
    <x v="10"/>
    <n v="10"/>
    <s v="October"/>
    <x v="0"/>
  </r>
  <r>
    <x v="0"/>
    <x v="1"/>
    <x v="3"/>
    <x v="3"/>
    <n v="2665"/>
    <n v="120"/>
    <n v="7"/>
    <n v="338455"/>
    <n v="1865.5"/>
    <x v="474"/>
    <n v="13325"/>
    <n v="323264.5"/>
    <x v="15"/>
    <n v="11"/>
    <s v="November"/>
    <x v="0"/>
  </r>
  <r>
    <x v="3"/>
    <x v="0"/>
    <x v="3"/>
    <x v="3"/>
    <n v="1916"/>
    <n v="120"/>
    <n v="125"/>
    <n v="469420"/>
    <n v="23950"/>
    <x v="475"/>
    <n v="229920"/>
    <n v="215550"/>
    <x v="12"/>
    <n v="12"/>
    <s v="December"/>
    <x v="1"/>
  </r>
  <r>
    <x v="4"/>
    <x v="2"/>
    <x v="3"/>
    <x v="3"/>
    <n v="853"/>
    <n v="120"/>
    <n v="300"/>
    <n v="358260"/>
    <n v="25590"/>
    <x v="476"/>
    <n v="213250"/>
    <n v="119420"/>
    <x v="2"/>
    <n v="12"/>
    <s v="December"/>
    <x v="0"/>
  </r>
  <r>
    <x v="3"/>
    <x v="3"/>
    <x v="4"/>
    <x v="3"/>
    <n v="341"/>
    <n v="250"/>
    <n v="125"/>
    <n v="127875"/>
    <n v="4262.5"/>
    <x v="477"/>
    <n v="40920"/>
    <n v="82692.5"/>
    <x v="14"/>
    <n v="5"/>
    <s v="May"/>
    <x v="0"/>
  </r>
  <r>
    <x v="1"/>
    <x v="3"/>
    <x v="4"/>
    <x v="3"/>
    <n v="641"/>
    <n v="250"/>
    <n v="15"/>
    <n v="169865"/>
    <n v="961.5"/>
    <x v="478"/>
    <n v="6410"/>
    <n v="162493.5"/>
    <x v="4"/>
    <n v="7"/>
    <s v="July"/>
    <x v="0"/>
  </r>
  <r>
    <x v="0"/>
    <x v="4"/>
    <x v="4"/>
    <x v="3"/>
    <n v="2807"/>
    <n v="250"/>
    <n v="350"/>
    <n v="1684200"/>
    <n v="98245"/>
    <x v="479"/>
    <n v="729820"/>
    <n v="856135"/>
    <x v="5"/>
    <n v="8"/>
    <s v="August"/>
    <x v="0"/>
  </r>
  <r>
    <x v="4"/>
    <x v="3"/>
    <x v="4"/>
    <x v="3"/>
    <n v="432"/>
    <n v="250"/>
    <n v="300"/>
    <n v="237600"/>
    <n v="12960"/>
    <x v="480"/>
    <n v="108000"/>
    <n v="116640"/>
    <x v="6"/>
    <n v="9"/>
    <s v="September"/>
    <x v="0"/>
  </r>
  <r>
    <x v="4"/>
    <x v="4"/>
    <x v="4"/>
    <x v="3"/>
    <n v="2294"/>
    <n v="250"/>
    <n v="300"/>
    <n v="1261700"/>
    <n v="68820"/>
    <x v="481"/>
    <n v="573500"/>
    <n v="619380"/>
    <x v="7"/>
    <n v="10"/>
    <s v="October"/>
    <x v="1"/>
  </r>
  <r>
    <x v="1"/>
    <x v="2"/>
    <x v="4"/>
    <x v="3"/>
    <n v="2167"/>
    <n v="250"/>
    <n v="15"/>
    <n v="574255"/>
    <n v="3250.5"/>
    <x v="482"/>
    <n v="21670"/>
    <n v="549334.5"/>
    <x v="7"/>
    <n v="10"/>
    <s v="October"/>
    <x v="1"/>
  </r>
  <r>
    <x v="3"/>
    <x v="0"/>
    <x v="4"/>
    <x v="3"/>
    <n v="2529"/>
    <n v="250"/>
    <n v="125"/>
    <n v="948375"/>
    <n v="31612.5"/>
    <x v="483"/>
    <n v="303480"/>
    <n v="613282.5"/>
    <x v="15"/>
    <n v="11"/>
    <s v="November"/>
    <x v="0"/>
  </r>
  <r>
    <x v="0"/>
    <x v="1"/>
    <x v="4"/>
    <x v="3"/>
    <n v="1870"/>
    <n v="250"/>
    <n v="350"/>
    <n v="1122000"/>
    <n v="65450"/>
    <x v="484"/>
    <n v="486200"/>
    <n v="570350"/>
    <x v="12"/>
    <n v="12"/>
    <s v="December"/>
    <x v="1"/>
  </r>
  <r>
    <x v="3"/>
    <x v="4"/>
    <x v="5"/>
    <x v="3"/>
    <n v="579"/>
    <n v="260"/>
    <n v="125"/>
    <n v="222915"/>
    <n v="7237.5"/>
    <x v="485"/>
    <n v="69480"/>
    <n v="146197.5"/>
    <x v="0"/>
    <n v="1"/>
    <s v="January"/>
    <x v="0"/>
  </r>
  <r>
    <x v="0"/>
    <x v="0"/>
    <x v="5"/>
    <x v="3"/>
    <n v="2240"/>
    <n v="260"/>
    <n v="350"/>
    <n v="1366400"/>
    <n v="78400"/>
    <x v="486"/>
    <n v="582400"/>
    <n v="705600"/>
    <x v="8"/>
    <n v="2"/>
    <s v="February"/>
    <x v="0"/>
  </r>
  <r>
    <x v="4"/>
    <x v="4"/>
    <x v="5"/>
    <x v="3"/>
    <n v="2993"/>
    <n v="260"/>
    <n v="300"/>
    <n v="1676080"/>
    <n v="89790"/>
    <x v="487"/>
    <n v="748250"/>
    <n v="838040"/>
    <x v="3"/>
    <n v="3"/>
    <s v="March"/>
    <x v="0"/>
  </r>
  <r>
    <x v="2"/>
    <x v="0"/>
    <x v="5"/>
    <x v="3"/>
    <n v="3520.5"/>
    <n v="260"/>
    <n v="12"/>
    <n v="957576"/>
    <n v="4224.6000000000004"/>
    <x v="488"/>
    <n v="10561.5"/>
    <n v="942789.9"/>
    <x v="13"/>
    <n v="4"/>
    <s v="April"/>
    <x v="0"/>
  </r>
  <r>
    <x v="0"/>
    <x v="3"/>
    <x v="5"/>
    <x v="3"/>
    <n v="2039"/>
    <n v="260"/>
    <n v="20"/>
    <n v="570920"/>
    <n v="4078"/>
    <x v="489"/>
    <n v="20390"/>
    <n v="546452"/>
    <x v="14"/>
    <n v="5"/>
    <s v="May"/>
    <x v="0"/>
  </r>
  <r>
    <x v="2"/>
    <x v="1"/>
    <x v="5"/>
    <x v="3"/>
    <n v="2574"/>
    <n v="260"/>
    <n v="12"/>
    <n v="700128"/>
    <n v="3088.8"/>
    <x v="490"/>
    <n v="7722"/>
    <n v="689317.2"/>
    <x v="5"/>
    <n v="8"/>
    <s v="August"/>
    <x v="0"/>
  </r>
  <r>
    <x v="0"/>
    <x v="0"/>
    <x v="5"/>
    <x v="3"/>
    <n v="707"/>
    <n v="260"/>
    <n v="350"/>
    <n v="431270"/>
    <n v="24745"/>
    <x v="491"/>
    <n v="183820"/>
    <n v="222705"/>
    <x v="6"/>
    <n v="9"/>
    <s v="September"/>
    <x v="0"/>
  </r>
  <r>
    <x v="1"/>
    <x v="2"/>
    <x v="5"/>
    <x v="3"/>
    <n v="2072"/>
    <n v="260"/>
    <n v="15"/>
    <n v="569800"/>
    <n v="3108"/>
    <x v="492"/>
    <n v="20720"/>
    <n v="545972"/>
    <x v="2"/>
    <n v="12"/>
    <s v="December"/>
    <x v="0"/>
  </r>
  <r>
    <x v="4"/>
    <x v="2"/>
    <x v="5"/>
    <x v="3"/>
    <n v="853"/>
    <n v="260"/>
    <n v="300"/>
    <n v="477680"/>
    <n v="25590"/>
    <x v="493"/>
    <n v="213250"/>
    <n v="238840"/>
    <x v="2"/>
    <n v="12"/>
    <s v="December"/>
    <x v="0"/>
  </r>
  <r>
    <x v="2"/>
    <x v="2"/>
    <x v="0"/>
    <x v="3"/>
    <n v="1198"/>
    <n v="3"/>
    <n v="12"/>
    <n v="17970"/>
    <n v="1581.36"/>
    <x v="494"/>
    <n v="3594"/>
    <n v="12794.64"/>
    <x v="7"/>
    <n v="10"/>
    <s v="October"/>
    <x v="1"/>
  </r>
  <r>
    <x v="0"/>
    <x v="2"/>
    <x v="2"/>
    <x v="3"/>
    <n v="2532"/>
    <n v="10"/>
    <n v="7"/>
    <n v="43044"/>
    <n v="1949.6399999999999"/>
    <x v="495"/>
    <n v="12660"/>
    <n v="28434.36"/>
    <x v="13"/>
    <n v="4"/>
    <s v="April"/>
    <x v="0"/>
  </r>
  <r>
    <x v="2"/>
    <x v="2"/>
    <x v="2"/>
    <x v="3"/>
    <n v="1198"/>
    <n v="10"/>
    <n v="12"/>
    <n v="26356"/>
    <n v="1581.36"/>
    <x v="496"/>
    <n v="3594"/>
    <n v="21180.639999999999"/>
    <x v="7"/>
    <n v="10"/>
    <s v="October"/>
    <x v="1"/>
  </r>
  <r>
    <x v="1"/>
    <x v="0"/>
    <x v="3"/>
    <x v="3"/>
    <n v="384"/>
    <n v="120"/>
    <n v="15"/>
    <n v="51840"/>
    <n v="633.59999999999991"/>
    <x v="497"/>
    <n v="3840"/>
    <n v="47366.400000000001"/>
    <x v="0"/>
    <n v="1"/>
    <s v="January"/>
    <x v="0"/>
  </r>
  <r>
    <x v="2"/>
    <x v="1"/>
    <x v="3"/>
    <x v="3"/>
    <n v="472"/>
    <n v="120"/>
    <n v="12"/>
    <n v="62304"/>
    <n v="623.04"/>
    <x v="498"/>
    <n v="1416"/>
    <n v="60264.959999999999"/>
    <x v="10"/>
    <n v="10"/>
    <s v="October"/>
    <x v="0"/>
  </r>
  <r>
    <x v="0"/>
    <x v="4"/>
    <x v="4"/>
    <x v="3"/>
    <n v="1579"/>
    <n v="250"/>
    <n v="7"/>
    <n v="405803"/>
    <n v="1215.83"/>
    <x v="499"/>
    <n v="7895"/>
    <n v="396692.17"/>
    <x v="3"/>
    <n v="3"/>
    <s v="March"/>
    <x v="0"/>
  </r>
  <r>
    <x v="2"/>
    <x v="3"/>
    <x v="4"/>
    <x v="3"/>
    <n v="1005"/>
    <n v="250"/>
    <n v="12"/>
    <n v="263310"/>
    <n v="1326.6"/>
    <x v="500"/>
    <n v="3015"/>
    <n v="258968.4"/>
    <x v="9"/>
    <n v="9"/>
    <s v="September"/>
    <x v="1"/>
  </r>
  <r>
    <x v="1"/>
    <x v="4"/>
    <x v="5"/>
    <x v="3"/>
    <n v="3199.5"/>
    <n v="260"/>
    <n v="15"/>
    <n v="879862.5"/>
    <n v="5279.1749999999993"/>
    <x v="501"/>
    <n v="31995"/>
    <n v="842588.32499999995"/>
    <x v="4"/>
    <n v="7"/>
    <s v="July"/>
    <x v="0"/>
  </r>
  <r>
    <x v="2"/>
    <x v="1"/>
    <x v="5"/>
    <x v="3"/>
    <n v="472"/>
    <n v="260"/>
    <n v="12"/>
    <n v="128384"/>
    <n v="623.04"/>
    <x v="502"/>
    <n v="1416"/>
    <n v="126344.96000000001"/>
    <x v="10"/>
    <n v="10"/>
    <s v="October"/>
    <x v="0"/>
  </r>
  <r>
    <x v="2"/>
    <x v="0"/>
    <x v="0"/>
    <x v="3"/>
    <n v="1937"/>
    <n v="3"/>
    <n v="12"/>
    <n v="29055"/>
    <n v="2556.84"/>
    <x v="503"/>
    <n v="5811"/>
    <n v="20687.16"/>
    <x v="8"/>
    <n v="2"/>
    <s v="February"/>
    <x v="0"/>
  </r>
  <r>
    <x v="0"/>
    <x v="1"/>
    <x v="0"/>
    <x v="3"/>
    <n v="792"/>
    <n v="3"/>
    <n v="350"/>
    <n v="279576"/>
    <n v="30492"/>
    <x v="504"/>
    <n v="205920"/>
    <n v="43164"/>
    <x v="3"/>
    <n v="3"/>
    <s v="March"/>
    <x v="0"/>
  </r>
  <r>
    <x v="4"/>
    <x v="1"/>
    <x v="0"/>
    <x v="3"/>
    <n v="2811"/>
    <n v="3"/>
    <n v="300"/>
    <n v="851733"/>
    <n v="92763"/>
    <x v="505"/>
    <n v="702750"/>
    <n v="56220"/>
    <x v="4"/>
    <n v="7"/>
    <s v="July"/>
    <x v="0"/>
  </r>
  <r>
    <x v="3"/>
    <x v="2"/>
    <x v="0"/>
    <x v="3"/>
    <n v="2441"/>
    <n v="3"/>
    <n v="125"/>
    <n v="312448"/>
    <n v="33563.75"/>
    <x v="506"/>
    <n v="292920"/>
    <n v="-14035.75"/>
    <x v="10"/>
    <n v="10"/>
    <s v="October"/>
    <x v="0"/>
  </r>
  <r>
    <x v="1"/>
    <x v="0"/>
    <x v="0"/>
    <x v="3"/>
    <n v="1560"/>
    <n v="3"/>
    <n v="15"/>
    <n v="28080"/>
    <n v="2574"/>
    <x v="507"/>
    <n v="15600"/>
    <n v="9906"/>
    <x v="11"/>
    <n v="11"/>
    <s v="November"/>
    <x v="1"/>
  </r>
  <r>
    <x v="0"/>
    <x v="3"/>
    <x v="0"/>
    <x v="3"/>
    <n v="2706"/>
    <n v="3"/>
    <n v="7"/>
    <n v="27060"/>
    <n v="2083.62"/>
    <x v="508"/>
    <n v="13530"/>
    <n v="11446.380000000001"/>
    <x v="11"/>
    <n v="11"/>
    <s v="November"/>
    <x v="1"/>
  </r>
  <r>
    <x v="0"/>
    <x v="1"/>
    <x v="1"/>
    <x v="3"/>
    <n v="766"/>
    <n v="5"/>
    <n v="350"/>
    <n v="271930"/>
    <n v="29491"/>
    <x v="509"/>
    <n v="199160"/>
    <n v="43279"/>
    <x v="0"/>
    <n v="1"/>
    <s v="January"/>
    <x v="0"/>
  </r>
  <r>
    <x v="0"/>
    <x v="1"/>
    <x v="1"/>
    <x v="3"/>
    <n v="2992"/>
    <n v="5"/>
    <n v="20"/>
    <n v="74800"/>
    <n v="6582.4"/>
    <x v="510"/>
    <n v="29920"/>
    <n v="38297.600000000006"/>
    <x v="7"/>
    <n v="10"/>
    <s v="October"/>
    <x v="1"/>
  </r>
  <r>
    <x v="1"/>
    <x v="3"/>
    <x v="1"/>
    <x v="3"/>
    <n v="2157"/>
    <n v="5"/>
    <n v="15"/>
    <n v="43140"/>
    <n v="3559.05"/>
    <x v="511"/>
    <n v="21570"/>
    <n v="18010.949999999997"/>
    <x v="2"/>
    <n v="12"/>
    <s v="December"/>
    <x v="0"/>
  </r>
  <r>
    <x v="4"/>
    <x v="0"/>
    <x v="2"/>
    <x v="3"/>
    <n v="873"/>
    <n v="10"/>
    <n v="300"/>
    <n v="270630"/>
    <n v="28809"/>
    <x v="512"/>
    <n v="218250"/>
    <n v="23571"/>
    <x v="0"/>
    <n v="1"/>
    <s v="January"/>
    <x v="0"/>
  </r>
  <r>
    <x v="0"/>
    <x v="3"/>
    <x v="2"/>
    <x v="3"/>
    <n v="1122"/>
    <n v="10"/>
    <n v="20"/>
    <n v="33660"/>
    <n v="2468.4"/>
    <x v="513"/>
    <n v="11220"/>
    <n v="19971.599999999999"/>
    <x v="3"/>
    <n v="3"/>
    <s v="March"/>
    <x v="0"/>
  </r>
  <r>
    <x v="0"/>
    <x v="0"/>
    <x v="2"/>
    <x v="3"/>
    <n v="2104.5"/>
    <n v="10"/>
    <n v="350"/>
    <n v="757620"/>
    <n v="81023.25"/>
    <x v="514"/>
    <n v="547170"/>
    <n v="129426.75"/>
    <x v="4"/>
    <n v="7"/>
    <s v="July"/>
    <x v="0"/>
  </r>
  <r>
    <x v="2"/>
    <x v="0"/>
    <x v="2"/>
    <x v="3"/>
    <n v="4026"/>
    <n v="10"/>
    <n v="12"/>
    <n v="88572"/>
    <n v="5314.32"/>
    <x v="515"/>
    <n v="12078"/>
    <n v="71179.679999999993"/>
    <x v="4"/>
    <n v="7"/>
    <s v="July"/>
    <x v="0"/>
  </r>
  <r>
    <x v="2"/>
    <x v="2"/>
    <x v="2"/>
    <x v="3"/>
    <n v="2425.5"/>
    <n v="10"/>
    <n v="12"/>
    <n v="53361"/>
    <n v="3201.66"/>
    <x v="516"/>
    <n v="7276.5"/>
    <n v="42882.84"/>
    <x v="4"/>
    <n v="7"/>
    <s v="July"/>
    <x v="0"/>
  </r>
  <r>
    <x v="0"/>
    <x v="0"/>
    <x v="2"/>
    <x v="3"/>
    <n v="2394"/>
    <n v="10"/>
    <n v="20"/>
    <n v="71820"/>
    <n v="5266.8"/>
    <x v="517"/>
    <n v="23940"/>
    <n v="42613.2"/>
    <x v="5"/>
    <n v="8"/>
    <s v="August"/>
    <x v="0"/>
  </r>
  <r>
    <x v="1"/>
    <x v="3"/>
    <x v="2"/>
    <x v="3"/>
    <n v="1984"/>
    <n v="10"/>
    <n v="15"/>
    <n v="49600"/>
    <n v="3273.6"/>
    <x v="518"/>
    <n v="19840"/>
    <n v="26486.400000000001"/>
    <x v="5"/>
    <n v="8"/>
    <s v="August"/>
    <x v="0"/>
  </r>
  <r>
    <x v="3"/>
    <x v="2"/>
    <x v="2"/>
    <x v="3"/>
    <n v="2441"/>
    <n v="10"/>
    <n v="125"/>
    <n v="329535"/>
    <n v="33563.75"/>
    <x v="519"/>
    <n v="292920"/>
    <n v="3051.25"/>
    <x v="10"/>
    <n v="10"/>
    <s v="October"/>
    <x v="0"/>
  </r>
  <r>
    <x v="0"/>
    <x v="1"/>
    <x v="2"/>
    <x v="3"/>
    <n v="2992"/>
    <n v="10"/>
    <n v="20"/>
    <n v="89760"/>
    <n v="6582.4"/>
    <x v="520"/>
    <n v="29920"/>
    <n v="53257.600000000006"/>
    <x v="7"/>
    <n v="10"/>
    <s v="October"/>
    <x v="1"/>
  </r>
  <r>
    <x v="4"/>
    <x v="0"/>
    <x v="2"/>
    <x v="3"/>
    <n v="1366"/>
    <n v="10"/>
    <n v="300"/>
    <n v="423460"/>
    <n v="45078"/>
    <x v="521"/>
    <n v="341500"/>
    <n v="36882"/>
    <x v="15"/>
    <n v="11"/>
    <s v="November"/>
    <x v="0"/>
  </r>
  <r>
    <x v="0"/>
    <x v="2"/>
    <x v="3"/>
    <x v="3"/>
    <n v="2805"/>
    <n v="120"/>
    <n v="20"/>
    <n v="392700"/>
    <n v="6171"/>
    <x v="522"/>
    <n v="28050"/>
    <n v="358479"/>
    <x v="9"/>
    <n v="9"/>
    <s v="September"/>
    <x v="1"/>
  </r>
  <r>
    <x v="1"/>
    <x v="3"/>
    <x v="3"/>
    <x v="3"/>
    <n v="655"/>
    <n v="120"/>
    <n v="15"/>
    <n v="88425"/>
    <n v="1080.75"/>
    <x v="523"/>
    <n v="6550"/>
    <n v="80794.25"/>
    <x v="9"/>
    <n v="9"/>
    <s v="September"/>
    <x v="1"/>
  </r>
  <r>
    <x v="0"/>
    <x v="3"/>
    <x v="3"/>
    <x v="3"/>
    <n v="344"/>
    <n v="120"/>
    <n v="350"/>
    <n v="161680"/>
    <n v="13244"/>
    <x v="524"/>
    <n v="89440"/>
    <n v="58996"/>
    <x v="7"/>
    <n v="10"/>
    <s v="October"/>
    <x v="1"/>
  </r>
  <r>
    <x v="0"/>
    <x v="0"/>
    <x v="3"/>
    <x v="3"/>
    <n v="1808"/>
    <n v="120"/>
    <n v="7"/>
    <n v="229616"/>
    <n v="1392.16"/>
    <x v="525"/>
    <n v="9040"/>
    <n v="219183.84"/>
    <x v="15"/>
    <n v="11"/>
    <s v="November"/>
    <x v="0"/>
  </r>
  <r>
    <x v="2"/>
    <x v="2"/>
    <x v="4"/>
    <x v="3"/>
    <n v="1734"/>
    <n v="250"/>
    <n v="12"/>
    <n v="454308"/>
    <n v="2288.88"/>
    <x v="526"/>
    <n v="5202"/>
    <n v="446817.12"/>
    <x v="0"/>
    <n v="1"/>
    <s v="January"/>
    <x v="0"/>
  </r>
  <r>
    <x v="3"/>
    <x v="3"/>
    <x v="4"/>
    <x v="3"/>
    <n v="554"/>
    <n v="250"/>
    <n v="125"/>
    <n v="207750"/>
    <n v="7617.5"/>
    <x v="527"/>
    <n v="66480"/>
    <n v="133652.5"/>
    <x v="0"/>
    <n v="1"/>
    <s v="January"/>
    <x v="0"/>
  </r>
  <r>
    <x v="0"/>
    <x v="0"/>
    <x v="4"/>
    <x v="3"/>
    <n v="2935"/>
    <n v="250"/>
    <n v="20"/>
    <n v="792450"/>
    <n v="6457"/>
    <x v="528"/>
    <n v="29350"/>
    <n v="756643"/>
    <x v="11"/>
    <n v="11"/>
    <s v="November"/>
    <x v="1"/>
  </r>
  <r>
    <x v="3"/>
    <x v="1"/>
    <x v="5"/>
    <x v="3"/>
    <n v="3165"/>
    <n v="260"/>
    <n v="125"/>
    <n v="1218525"/>
    <n v="43518.75"/>
    <x v="529"/>
    <n v="379800"/>
    <n v="795206.25"/>
    <x v="0"/>
    <n v="1"/>
    <s v="January"/>
    <x v="0"/>
  </r>
  <r>
    <x v="0"/>
    <x v="3"/>
    <x v="5"/>
    <x v="3"/>
    <n v="2629"/>
    <n v="260"/>
    <n v="20"/>
    <n v="736120"/>
    <n v="5783.8"/>
    <x v="530"/>
    <n v="26290"/>
    <n v="704046.2"/>
    <x v="0"/>
    <n v="1"/>
    <s v="January"/>
    <x v="0"/>
  </r>
  <r>
    <x v="3"/>
    <x v="2"/>
    <x v="5"/>
    <x v="3"/>
    <n v="1433"/>
    <n v="260"/>
    <n v="125"/>
    <n v="551705"/>
    <n v="19703.75"/>
    <x v="531"/>
    <n v="171960"/>
    <n v="360041.25"/>
    <x v="14"/>
    <n v="5"/>
    <s v="May"/>
    <x v="0"/>
  </r>
  <r>
    <x v="3"/>
    <x v="3"/>
    <x v="5"/>
    <x v="3"/>
    <n v="947"/>
    <n v="260"/>
    <n v="125"/>
    <n v="364595"/>
    <n v="13021.25"/>
    <x v="532"/>
    <n v="113640"/>
    <n v="237933.75"/>
    <x v="9"/>
    <n v="9"/>
    <s v="September"/>
    <x v="1"/>
  </r>
  <r>
    <x v="0"/>
    <x v="3"/>
    <x v="5"/>
    <x v="3"/>
    <n v="344"/>
    <n v="260"/>
    <n v="350"/>
    <n v="209840"/>
    <n v="13244"/>
    <x v="533"/>
    <n v="89440"/>
    <n v="107156"/>
    <x v="7"/>
    <n v="10"/>
    <s v="October"/>
    <x v="1"/>
  </r>
  <r>
    <x v="1"/>
    <x v="3"/>
    <x v="5"/>
    <x v="3"/>
    <n v="2157"/>
    <n v="260"/>
    <n v="15"/>
    <n v="593175"/>
    <n v="3559.05"/>
    <x v="534"/>
    <n v="21570"/>
    <n v="568045.94999999995"/>
    <x v="2"/>
    <n v="12"/>
    <s v="December"/>
    <x v="0"/>
  </r>
  <r>
    <x v="0"/>
    <x v="4"/>
    <x v="2"/>
    <x v="3"/>
    <n v="380"/>
    <n v="10"/>
    <n v="7"/>
    <n v="6460"/>
    <n v="292.60000000000002"/>
    <x v="535"/>
    <n v="1900"/>
    <n v="4267.3999999999996"/>
    <x v="9"/>
    <n v="9"/>
    <s v="September"/>
    <x v="1"/>
  </r>
  <r>
    <x v="0"/>
    <x v="3"/>
    <x v="0"/>
    <x v="3"/>
    <n v="886"/>
    <n v="3"/>
    <n v="350"/>
    <n v="312758"/>
    <n v="37212"/>
    <x v="536"/>
    <n v="230360"/>
    <n v="45186"/>
    <x v="1"/>
    <n v="6"/>
    <s v="June"/>
    <x v="0"/>
  </r>
  <r>
    <x v="3"/>
    <x v="0"/>
    <x v="0"/>
    <x v="3"/>
    <n v="2416"/>
    <n v="3"/>
    <n v="125"/>
    <n v="309248"/>
    <n v="36240"/>
    <x v="537"/>
    <n v="289920"/>
    <n v="-16912"/>
    <x v="9"/>
    <n v="9"/>
    <s v="September"/>
    <x v="1"/>
  </r>
  <r>
    <x v="3"/>
    <x v="3"/>
    <x v="0"/>
    <x v="3"/>
    <n v="2156"/>
    <n v="3"/>
    <n v="125"/>
    <n v="275968"/>
    <n v="32340"/>
    <x v="538"/>
    <n v="258720"/>
    <n v="-15092"/>
    <x v="10"/>
    <n v="10"/>
    <s v="October"/>
    <x v="0"/>
  </r>
  <r>
    <x v="1"/>
    <x v="0"/>
    <x v="0"/>
    <x v="3"/>
    <n v="2689"/>
    <n v="3"/>
    <n v="15"/>
    <n v="48402"/>
    <n v="4840.2"/>
    <x v="539"/>
    <n v="26890"/>
    <n v="16671.800000000003"/>
    <x v="15"/>
    <n v="11"/>
    <s v="November"/>
    <x v="0"/>
  </r>
  <r>
    <x v="1"/>
    <x v="4"/>
    <x v="1"/>
    <x v="3"/>
    <n v="677"/>
    <n v="5"/>
    <n v="15"/>
    <n v="13540"/>
    <n v="1218.5999999999999"/>
    <x v="540"/>
    <n v="6770"/>
    <n v="5551.4"/>
    <x v="3"/>
    <n v="3"/>
    <s v="March"/>
    <x v="0"/>
  </r>
  <r>
    <x v="4"/>
    <x v="2"/>
    <x v="1"/>
    <x v="3"/>
    <n v="1773"/>
    <n v="5"/>
    <n v="300"/>
    <n v="540765"/>
    <n v="63828"/>
    <x v="541"/>
    <n v="443250"/>
    <n v="33687"/>
    <x v="13"/>
    <n v="4"/>
    <s v="April"/>
    <x v="0"/>
  </r>
  <r>
    <x v="0"/>
    <x v="3"/>
    <x v="1"/>
    <x v="3"/>
    <n v="2420"/>
    <n v="5"/>
    <n v="7"/>
    <n v="29040"/>
    <n v="2032.8"/>
    <x v="542"/>
    <n v="12100"/>
    <n v="14907.2"/>
    <x v="6"/>
    <n v="9"/>
    <s v="September"/>
    <x v="0"/>
  </r>
  <r>
    <x v="0"/>
    <x v="0"/>
    <x v="1"/>
    <x v="3"/>
    <n v="2734"/>
    <n v="5"/>
    <n v="7"/>
    <n v="32808"/>
    <n v="2296.56"/>
    <x v="543"/>
    <n v="13670"/>
    <n v="16841.439999999999"/>
    <x v="10"/>
    <n v="10"/>
    <s v="October"/>
    <x v="0"/>
  </r>
  <r>
    <x v="0"/>
    <x v="3"/>
    <x v="1"/>
    <x v="3"/>
    <n v="1715"/>
    <n v="5"/>
    <n v="20"/>
    <n v="42875"/>
    <n v="4116"/>
    <x v="544"/>
    <n v="17150"/>
    <n v="21609"/>
    <x v="7"/>
    <n v="10"/>
    <s v="October"/>
    <x v="1"/>
  </r>
  <r>
    <x v="4"/>
    <x v="2"/>
    <x v="1"/>
    <x v="3"/>
    <n v="1186"/>
    <n v="5"/>
    <n v="300"/>
    <n v="361730"/>
    <n v="42696"/>
    <x v="545"/>
    <n v="296500"/>
    <n v="22534"/>
    <x v="12"/>
    <n v="12"/>
    <s v="December"/>
    <x v="1"/>
  </r>
  <r>
    <x v="4"/>
    <x v="4"/>
    <x v="2"/>
    <x v="3"/>
    <n v="3495"/>
    <n v="10"/>
    <n v="300"/>
    <n v="1083450"/>
    <n v="125820"/>
    <x v="546"/>
    <n v="873750"/>
    <n v="83880"/>
    <x v="0"/>
    <n v="1"/>
    <s v="January"/>
    <x v="0"/>
  </r>
  <r>
    <x v="0"/>
    <x v="3"/>
    <x v="2"/>
    <x v="3"/>
    <n v="886"/>
    <n v="10"/>
    <n v="350"/>
    <n v="318960"/>
    <n v="37212"/>
    <x v="547"/>
    <n v="230360"/>
    <n v="51388"/>
    <x v="1"/>
    <n v="6"/>
    <s v="June"/>
    <x v="0"/>
  </r>
  <r>
    <x v="3"/>
    <x v="3"/>
    <x v="2"/>
    <x v="3"/>
    <n v="2156"/>
    <n v="10"/>
    <n v="125"/>
    <n v="291060"/>
    <n v="32340"/>
    <x v="548"/>
    <n v="258720"/>
    <n v="0"/>
    <x v="10"/>
    <n v="10"/>
    <s v="October"/>
    <x v="0"/>
  </r>
  <r>
    <x v="0"/>
    <x v="3"/>
    <x v="2"/>
    <x v="3"/>
    <n v="905"/>
    <n v="10"/>
    <n v="20"/>
    <n v="27150"/>
    <n v="2172"/>
    <x v="549"/>
    <n v="9050"/>
    <n v="15928"/>
    <x v="10"/>
    <n v="10"/>
    <s v="October"/>
    <x v="0"/>
  </r>
  <r>
    <x v="0"/>
    <x v="3"/>
    <x v="2"/>
    <x v="3"/>
    <n v="1715"/>
    <n v="10"/>
    <n v="20"/>
    <n v="51450"/>
    <n v="4116"/>
    <x v="550"/>
    <n v="17150"/>
    <n v="30184"/>
    <x v="7"/>
    <n v="10"/>
    <s v="October"/>
    <x v="1"/>
  </r>
  <r>
    <x v="0"/>
    <x v="2"/>
    <x v="2"/>
    <x v="3"/>
    <n v="1594"/>
    <n v="10"/>
    <n v="350"/>
    <n v="573840"/>
    <n v="66948"/>
    <x v="551"/>
    <n v="414440"/>
    <n v="92452"/>
    <x v="15"/>
    <n v="11"/>
    <s v="November"/>
    <x v="0"/>
  </r>
  <r>
    <x v="4"/>
    <x v="1"/>
    <x v="2"/>
    <x v="3"/>
    <n v="1359"/>
    <n v="10"/>
    <n v="300"/>
    <n v="421290"/>
    <n v="48924"/>
    <x v="552"/>
    <n v="339750"/>
    <n v="32616"/>
    <x v="15"/>
    <n v="11"/>
    <s v="November"/>
    <x v="0"/>
  </r>
  <r>
    <x v="4"/>
    <x v="3"/>
    <x v="2"/>
    <x v="3"/>
    <n v="2150"/>
    <n v="10"/>
    <n v="300"/>
    <n v="666500"/>
    <n v="77400"/>
    <x v="553"/>
    <n v="537500"/>
    <n v="51600"/>
    <x v="15"/>
    <n v="11"/>
    <s v="November"/>
    <x v="0"/>
  </r>
  <r>
    <x v="0"/>
    <x v="3"/>
    <x v="2"/>
    <x v="3"/>
    <n v="1197"/>
    <n v="10"/>
    <n v="350"/>
    <n v="430920"/>
    <n v="50274"/>
    <x v="554"/>
    <n v="311220"/>
    <n v="69426"/>
    <x v="15"/>
    <n v="11"/>
    <s v="November"/>
    <x v="0"/>
  </r>
  <r>
    <x v="1"/>
    <x v="3"/>
    <x v="2"/>
    <x v="3"/>
    <n v="380"/>
    <n v="10"/>
    <n v="15"/>
    <n v="9500"/>
    <n v="684"/>
    <x v="555"/>
    <n v="3800"/>
    <n v="5016"/>
    <x v="12"/>
    <n v="12"/>
    <s v="December"/>
    <x v="1"/>
  </r>
  <r>
    <x v="0"/>
    <x v="3"/>
    <x v="2"/>
    <x v="3"/>
    <n v="1233"/>
    <n v="10"/>
    <n v="20"/>
    <n v="36990"/>
    <n v="2959.2"/>
    <x v="556"/>
    <n v="12330"/>
    <n v="21700.800000000003"/>
    <x v="2"/>
    <n v="12"/>
    <s v="December"/>
    <x v="0"/>
  </r>
  <r>
    <x v="0"/>
    <x v="3"/>
    <x v="3"/>
    <x v="3"/>
    <n v="1395"/>
    <n v="120"/>
    <n v="350"/>
    <n v="655650"/>
    <n v="58590"/>
    <x v="557"/>
    <n v="362700"/>
    <n v="234360"/>
    <x v="4"/>
    <n v="7"/>
    <s v="July"/>
    <x v="0"/>
  </r>
  <r>
    <x v="0"/>
    <x v="4"/>
    <x v="3"/>
    <x v="3"/>
    <n v="986"/>
    <n v="120"/>
    <n v="350"/>
    <n v="463420"/>
    <n v="41412"/>
    <x v="558"/>
    <n v="256360"/>
    <n v="165648"/>
    <x v="10"/>
    <n v="10"/>
    <s v="October"/>
    <x v="0"/>
  </r>
  <r>
    <x v="0"/>
    <x v="3"/>
    <x v="3"/>
    <x v="3"/>
    <n v="905"/>
    <n v="120"/>
    <n v="20"/>
    <n v="126700"/>
    <n v="2172"/>
    <x v="559"/>
    <n v="9050"/>
    <n v="115478"/>
    <x v="10"/>
    <n v="10"/>
    <s v="October"/>
    <x v="0"/>
  </r>
  <r>
    <x v="2"/>
    <x v="0"/>
    <x v="4"/>
    <x v="3"/>
    <n v="2109"/>
    <n v="250"/>
    <n v="12"/>
    <n v="552558"/>
    <n v="3036.96"/>
    <x v="560"/>
    <n v="6327"/>
    <n v="543194.04"/>
    <x v="14"/>
    <n v="5"/>
    <s v="May"/>
    <x v="0"/>
  </r>
  <r>
    <x v="1"/>
    <x v="2"/>
    <x v="4"/>
    <x v="3"/>
    <n v="3874.5"/>
    <n v="250"/>
    <n v="15"/>
    <n v="1026742.5"/>
    <n v="6974.0999999999995"/>
    <x v="561"/>
    <n v="38745"/>
    <n v="981023.4"/>
    <x v="4"/>
    <n v="7"/>
    <s v="July"/>
    <x v="0"/>
  </r>
  <r>
    <x v="0"/>
    <x v="0"/>
    <x v="4"/>
    <x v="3"/>
    <n v="623"/>
    <n v="250"/>
    <n v="350"/>
    <n v="373800"/>
    <n v="26166"/>
    <x v="562"/>
    <n v="161980"/>
    <n v="185654"/>
    <x v="9"/>
    <n v="9"/>
    <s v="September"/>
    <x v="1"/>
  </r>
  <r>
    <x v="0"/>
    <x v="4"/>
    <x v="4"/>
    <x v="3"/>
    <n v="986"/>
    <n v="250"/>
    <n v="350"/>
    <n v="591600"/>
    <n v="41412"/>
    <x v="563"/>
    <n v="256360"/>
    <n v="293828"/>
    <x v="10"/>
    <n v="10"/>
    <s v="October"/>
    <x v="0"/>
  </r>
  <r>
    <x v="3"/>
    <x v="4"/>
    <x v="4"/>
    <x v="3"/>
    <n v="2387"/>
    <n v="250"/>
    <n v="125"/>
    <n v="895125"/>
    <n v="35805"/>
    <x v="564"/>
    <n v="286440"/>
    <n v="572880"/>
    <x v="15"/>
    <n v="11"/>
    <s v="November"/>
    <x v="0"/>
  </r>
  <r>
    <x v="0"/>
    <x v="3"/>
    <x v="4"/>
    <x v="3"/>
    <n v="1233"/>
    <n v="250"/>
    <n v="20"/>
    <n v="332910"/>
    <n v="2959.2"/>
    <x v="565"/>
    <n v="12330"/>
    <n v="317620.8"/>
    <x v="2"/>
    <n v="12"/>
    <s v="December"/>
    <x v="0"/>
  </r>
  <r>
    <x v="0"/>
    <x v="4"/>
    <x v="5"/>
    <x v="3"/>
    <n v="270"/>
    <n v="260"/>
    <n v="350"/>
    <n v="164700"/>
    <n v="11340"/>
    <x v="566"/>
    <n v="70200"/>
    <n v="83160"/>
    <x v="8"/>
    <n v="2"/>
    <s v="February"/>
    <x v="0"/>
  </r>
  <r>
    <x v="0"/>
    <x v="2"/>
    <x v="5"/>
    <x v="3"/>
    <n v="3421.5"/>
    <n v="260"/>
    <n v="7"/>
    <n v="913540.5"/>
    <n v="2874.06"/>
    <x v="567"/>
    <n v="17107.5"/>
    <n v="893558.94"/>
    <x v="4"/>
    <n v="7"/>
    <s v="July"/>
    <x v="0"/>
  </r>
  <r>
    <x v="0"/>
    <x v="0"/>
    <x v="5"/>
    <x v="3"/>
    <n v="2734"/>
    <n v="260"/>
    <n v="7"/>
    <n v="729978"/>
    <n v="2296.56"/>
    <x v="568"/>
    <n v="13670"/>
    <n v="714011.44"/>
    <x v="10"/>
    <n v="10"/>
    <s v="October"/>
    <x v="0"/>
  </r>
  <r>
    <x v="1"/>
    <x v="4"/>
    <x v="5"/>
    <x v="3"/>
    <n v="2548"/>
    <n v="260"/>
    <n v="15"/>
    <n v="700700"/>
    <n v="4586.3999999999996"/>
    <x v="569"/>
    <n v="25480"/>
    <n v="670633.6"/>
    <x v="11"/>
    <n v="11"/>
    <s v="November"/>
    <x v="1"/>
  </r>
  <r>
    <x v="0"/>
    <x v="2"/>
    <x v="0"/>
    <x v="3"/>
    <n v="2521.5"/>
    <n v="3"/>
    <n v="20"/>
    <n v="57994.5"/>
    <n v="6051.6"/>
    <x v="570"/>
    <n v="25215"/>
    <n v="26727.9"/>
    <x v="0"/>
    <n v="1"/>
    <s v="January"/>
    <x v="0"/>
  </r>
  <r>
    <x v="2"/>
    <x v="3"/>
    <x v="1"/>
    <x v="3"/>
    <n v="2661"/>
    <n v="5"/>
    <n v="12"/>
    <n v="45237"/>
    <n v="3831.84"/>
    <x v="571"/>
    <n v="7983"/>
    <n v="33422.160000000003"/>
    <x v="14"/>
    <n v="5"/>
    <s v="May"/>
    <x v="0"/>
  </r>
  <r>
    <x v="0"/>
    <x v="1"/>
    <x v="2"/>
    <x v="3"/>
    <n v="1531"/>
    <n v="10"/>
    <n v="20"/>
    <n v="45930"/>
    <n v="3674.4"/>
    <x v="572"/>
    <n v="15310"/>
    <n v="26945.599999999999"/>
    <x v="2"/>
    <n v="12"/>
    <s v="December"/>
    <x v="0"/>
  </r>
  <r>
    <x v="0"/>
    <x v="2"/>
    <x v="4"/>
    <x v="3"/>
    <n v="1491"/>
    <n v="250"/>
    <n v="7"/>
    <n v="383187"/>
    <n v="1252.44"/>
    <x v="573"/>
    <n v="7455"/>
    <n v="374479.56"/>
    <x v="3"/>
    <n v="3"/>
    <s v="March"/>
    <x v="0"/>
  </r>
  <r>
    <x v="0"/>
    <x v="1"/>
    <x v="4"/>
    <x v="3"/>
    <n v="1531"/>
    <n v="250"/>
    <n v="20"/>
    <n v="413370"/>
    <n v="3674.4"/>
    <x v="574"/>
    <n v="15310"/>
    <n v="394385.6"/>
    <x v="2"/>
    <n v="12"/>
    <s v="December"/>
    <x v="0"/>
  </r>
  <r>
    <x v="2"/>
    <x v="0"/>
    <x v="5"/>
    <x v="3"/>
    <n v="2761"/>
    <n v="260"/>
    <n v="12"/>
    <n v="750992"/>
    <n v="3975.84"/>
    <x v="575"/>
    <n v="8283"/>
    <n v="738733.16"/>
    <x v="9"/>
    <n v="9"/>
    <s v="September"/>
    <x v="1"/>
  </r>
  <r>
    <x v="1"/>
    <x v="4"/>
    <x v="0"/>
    <x v="3"/>
    <n v="2567"/>
    <n v="3"/>
    <n v="15"/>
    <n v="46206"/>
    <n v="5005.6499999999996"/>
    <x v="576"/>
    <n v="25670"/>
    <n v="15530.349999999999"/>
    <x v="1"/>
    <n v="6"/>
    <s v="June"/>
    <x v="0"/>
  </r>
  <r>
    <x v="1"/>
    <x v="4"/>
    <x v="4"/>
    <x v="3"/>
    <n v="2567"/>
    <n v="250"/>
    <n v="15"/>
    <n v="680255"/>
    <n v="5005.6499999999996"/>
    <x v="577"/>
    <n v="25670"/>
    <n v="649579.35"/>
    <x v="1"/>
    <n v="6"/>
    <s v="June"/>
    <x v="0"/>
  </r>
  <r>
    <x v="0"/>
    <x v="0"/>
    <x v="0"/>
    <x v="3"/>
    <n v="923"/>
    <n v="3"/>
    <n v="350"/>
    <n v="325819"/>
    <n v="41996.5"/>
    <x v="578"/>
    <n v="239980"/>
    <n v="43842.5"/>
    <x v="3"/>
    <n v="3"/>
    <s v="March"/>
    <x v="0"/>
  </r>
  <r>
    <x v="0"/>
    <x v="2"/>
    <x v="0"/>
    <x v="3"/>
    <n v="1790"/>
    <n v="3"/>
    <n v="350"/>
    <n v="631870"/>
    <n v="81445"/>
    <x v="579"/>
    <n v="465400"/>
    <n v="85025"/>
    <x v="3"/>
    <n v="3"/>
    <s v="March"/>
    <x v="0"/>
  </r>
  <r>
    <x v="0"/>
    <x v="1"/>
    <x v="0"/>
    <x v="3"/>
    <n v="442"/>
    <n v="3"/>
    <n v="20"/>
    <n v="10166"/>
    <n v="1149.2"/>
    <x v="580"/>
    <n v="4420"/>
    <n v="4596.7999999999993"/>
    <x v="9"/>
    <n v="9"/>
    <s v="September"/>
    <x v="1"/>
  </r>
  <r>
    <x v="0"/>
    <x v="4"/>
    <x v="1"/>
    <x v="3"/>
    <n v="982.5"/>
    <n v="5"/>
    <n v="350"/>
    <n v="348787.5"/>
    <n v="44703.75"/>
    <x v="581"/>
    <n v="255450"/>
    <n v="48633.75"/>
    <x v="0"/>
    <n v="1"/>
    <s v="January"/>
    <x v="0"/>
  </r>
  <r>
    <x v="0"/>
    <x v="4"/>
    <x v="1"/>
    <x v="3"/>
    <n v="1298"/>
    <n v="5"/>
    <n v="7"/>
    <n v="15576"/>
    <n v="1181.18"/>
    <x v="582"/>
    <n v="6490"/>
    <n v="7904.82"/>
    <x v="8"/>
    <n v="2"/>
    <s v="February"/>
    <x v="0"/>
  </r>
  <r>
    <x v="2"/>
    <x v="3"/>
    <x v="1"/>
    <x v="3"/>
    <n v="604"/>
    <n v="5"/>
    <n v="12"/>
    <n v="10268"/>
    <n v="942.24"/>
    <x v="583"/>
    <n v="1812"/>
    <n v="7513.76"/>
    <x v="1"/>
    <n v="6"/>
    <s v="June"/>
    <x v="0"/>
  </r>
  <r>
    <x v="0"/>
    <x v="3"/>
    <x v="1"/>
    <x v="3"/>
    <n v="2255"/>
    <n v="5"/>
    <n v="20"/>
    <n v="56375"/>
    <n v="5863"/>
    <x v="584"/>
    <n v="22550"/>
    <n v="27962"/>
    <x v="4"/>
    <n v="7"/>
    <s v="July"/>
    <x v="0"/>
  </r>
  <r>
    <x v="0"/>
    <x v="0"/>
    <x v="1"/>
    <x v="3"/>
    <n v="1249"/>
    <n v="5"/>
    <n v="20"/>
    <n v="31225"/>
    <n v="3247.4"/>
    <x v="585"/>
    <n v="12490"/>
    <n v="15487.599999999999"/>
    <x v="10"/>
    <n v="10"/>
    <s v="October"/>
    <x v="0"/>
  </r>
  <r>
    <x v="0"/>
    <x v="4"/>
    <x v="2"/>
    <x v="3"/>
    <n v="1438.5"/>
    <n v="10"/>
    <n v="7"/>
    <n v="24454.5"/>
    <n v="1309.0350000000001"/>
    <x v="586"/>
    <n v="7192.5"/>
    <n v="15952.965"/>
    <x v="0"/>
    <n v="1"/>
    <s v="January"/>
    <x v="0"/>
  </r>
  <r>
    <x v="4"/>
    <x v="1"/>
    <x v="2"/>
    <x v="3"/>
    <n v="807"/>
    <n v="10"/>
    <n v="300"/>
    <n v="250170"/>
    <n v="31473"/>
    <x v="587"/>
    <n v="201750"/>
    <n v="16947"/>
    <x v="0"/>
    <n v="1"/>
    <s v="January"/>
    <x v="0"/>
  </r>
  <r>
    <x v="0"/>
    <x v="4"/>
    <x v="2"/>
    <x v="3"/>
    <n v="2641"/>
    <n v="10"/>
    <n v="20"/>
    <n v="79230"/>
    <n v="6866.6"/>
    <x v="588"/>
    <n v="26410"/>
    <n v="45953.399999999994"/>
    <x v="8"/>
    <n v="2"/>
    <s v="February"/>
    <x v="0"/>
  </r>
  <r>
    <x v="0"/>
    <x v="1"/>
    <x v="2"/>
    <x v="3"/>
    <n v="2708"/>
    <n v="10"/>
    <n v="20"/>
    <n v="81240"/>
    <n v="7040.8"/>
    <x v="589"/>
    <n v="27080"/>
    <n v="47119.199999999997"/>
    <x v="8"/>
    <n v="2"/>
    <s v="February"/>
    <x v="0"/>
  </r>
  <r>
    <x v="0"/>
    <x v="0"/>
    <x v="2"/>
    <x v="3"/>
    <n v="2632"/>
    <n v="10"/>
    <n v="350"/>
    <n v="947520"/>
    <n v="119756"/>
    <x v="590"/>
    <n v="684320"/>
    <n v="143444"/>
    <x v="1"/>
    <n v="6"/>
    <s v="June"/>
    <x v="0"/>
  </r>
  <r>
    <x v="3"/>
    <x v="0"/>
    <x v="2"/>
    <x v="3"/>
    <n v="1583"/>
    <n v="10"/>
    <n v="125"/>
    <n v="213705"/>
    <n v="25723.75"/>
    <x v="591"/>
    <n v="189960"/>
    <n v="-1978.75"/>
    <x v="1"/>
    <n v="6"/>
    <s v="June"/>
    <x v="0"/>
  </r>
  <r>
    <x v="2"/>
    <x v="3"/>
    <x v="2"/>
    <x v="3"/>
    <n v="571"/>
    <n v="10"/>
    <n v="12"/>
    <n v="12562"/>
    <n v="890.76"/>
    <x v="592"/>
    <n v="1713"/>
    <n v="9958.24"/>
    <x v="4"/>
    <n v="7"/>
    <s v="July"/>
    <x v="0"/>
  </r>
  <r>
    <x v="0"/>
    <x v="2"/>
    <x v="2"/>
    <x v="3"/>
    <n v="2696"/>
    <n v="10"/>
    <n v="7"/>
    <n v="45832"/>
    <n v="2453.36"/>
    <x v="593"/>
    <n v="13480"/>
    <n v="29898.639999999999"/>
    <x v="5"/>
    <n v="8"/>
    <s v="August"/>
    <x v="0"/>
  </r>
  <r>
    <x v="1"/>
    <x v="0"/>
    <x v="2"/>
    <x v="3"/>
    <n v="1565"/>
    <n v="10"/>
    <n v="15"/>
    <n v="39125"/>
    <n v="3051.75"/>
    <x v="594"/>
    <n v="15650"/>
    <n v="20423.25"/>
    <x v="10"/>
    <n v="10"/>
    <s v="October"/>
    <x v="0"/>
  </r>
  <r>
    <x v="0"/>
    <x v="0"/>
    <x v="2"/>
    <x v="3"/>
    <n v="1249"/>
    <n v="10"/>
    <n v="20"/>
    <n v="37470"/>
    <n v="3247.4"/>
    <x v="595"/>
    <n v="12490"/>
    <n v="21732.6"/>
    <x v="10"/>
    <n v="10"/>
    <s v="October"/>
    <x v="0"/>
  </r>
  <r>
    <x v="0"/>
    <x v="1"/>
    <x v="2"/>
    <x v="3"/>
    <n v="357"/>
    <n v="10"/>
    <n v="350"/>
    <n v="128520"/>
    <n v="16243.5"/>
    <x v="596"/>
    <n v="92820"/>
    <n v="19456.5"/>
    <x v="15"/>
    <n v="11"/>
    <s v="November"/>
    <x v="0"/>
  </r>
  <r>
    <x v="2"/>
    <x v="1"/>
    <x v="2"/>
    <x v="3"/>
    <n v="1013"/>
    <n v="10"/>
    <n v="12"/>
    <n v="22286"/>
    <n v="1580.28"/>
    <x v="597"/>
    <n v="3039"/>
    <n v="17666.72"/>
    <x v="2"/>
    <n v="12"/>
    <s v="December"/>
    <x v="0"/>
  </r>
  <r>
    <x v="1"/>
    <x v="2"/>
    <x v="3"/>
    <x v="3"/>
    <n v="3997.5"/>
    <n v="120"/>
    <n v="15"/>
    <n v="539662.5"/>
    <n v="7795.125"/>
    <x v="598"/>
    <n v="39975"/>
    <n v="491892.375"/>
    <x v="0"/>
    <n v="1"/>
    <s v="January"/>
    <x v="0"/>
  </r>
  <r>
    <x v="0"/>
    <x v="0"/>
    <x v="3"/>
    <x v="3"/>
    <n v="2632"/>
    <n v="120"/>
    <n v="350"/>
    <n v="1237040"/>
    <n v="119756"/>
    <x v="599"/>
    <n v="684320"/>
    <n v="432964"/>
    <x v="1"/>
    <n v="6"/>
    <s v="June"/>
    <x v="0"/>
  </r>
  <r>
    <x v="0"/>
    <x v="2"/>
    <x v="3"/>
    <x v="3"/>
    <n v="1190"/>
    <n v="120"/>
    <n v="7"/>
    <n v="151130"/>
    <n v="1082.9000000000001"/>
    <x v="600"/>
    <n v="5950"/>
    <n v="144097.1"/>
    <x v="1"/>
    <n v="6"/>
    <s v="June"/>
    <x v="0"/>
  </r>
  <r>
    <x v="2"/>
    <x v="3"/>
    <x v="3"/>
    <x v="3"/>
    <n v="604"/>
    <n v="120"/>
    <n v="12"/>
    <n v="79728"/>
    <n v="942.24"/>
    <x v="601"/>
    <n v="1812"/>
    <n v="76973.759999999995"/>
    <x v="1"/>
    <n v="6"/>
    <s v="June"/>
    <x v="0"/>
  </r>
  <r>
    <x v="1"/>
    <x v="1"/>
    <x v="3"/>
    <x v="3"/>
    <n v="660"/>
    <n v="120"/>
    <n v="15"/>
    <n v="89100"/>
    <n v="1287"/>
    <x v="602"/>
    <n v="6600"/>
    <n v="81213"/>
    <x v="9"/>
    <n v="9"/>
    <s v="September"/>
    <x v="1"/>
  </r>
  <r>
    <x v="2"/>
    <x v="3"/>
    <x v="3"/>
    <x v="3"/>
    <n v="410"/>
    <n v="120"/>
    <n v="12"/>
    <n v="54120"/>
    <n v="639.6"/>
    <x v="603"/>
    <n v="1230"/>
    <n v="52250.400000000001"/>
    <x v="10"/>
    <n v="10"/>
    <s v="October"/>
    <x v="0"/>
  </r>
  <r>
    <x v="4"/>
    <x v="3"/>
    <x v="3"/>
    <x v="3"/>
    <n v="2605"/>
    <n v="120"/>
    <n v="300"/>
    <n v="1094100"/>
    <n v="101595"/>
    <x v="604"/>
    <n v="651250"/>
    <n v="341255"/>
    <x v="11"/>
    <n v="11"/>
    <s v="November"/>
    <x v="1"/>
  </r>
  <r>
    <x v="2"/>
    <x v="1"/>
    <x v="3"/>
    <x v="3"/>
    <n v="1013"/>
    <n v="120"/>
    <n v="12"/>
    <n v="133716"/>
    <n v="1580.28"/>
    <x v="605"/>
    <n v="3039"/>
    <n v="129096.72"/>
    <x v="2"/>
    <n v="12"/>
    <s v="December"/>
    <x v="0"/>
  </r>
  <r>
    <x v="3"/>
    <x v="0"/>
    <x v="4"/>
    <x v="3"/>
    <n v="1583"/>
    <n v="250"/>
    <n v="125"/>
    <n v="593625"/>
    <n v="25723.75"/>
    <x v="606"/>
    <n v="189960"/>
    <n v="377941.25"/>
    <x v="1"/>
    <n v="6"/>
    <s v="June"/>
    <x v="0"/>
  </r>
  <r>
    <x v="1"/>
    <x v="0"/>
    <x v="4"/>
    <x v="3"/>
    <n v="1565"/>
    <n v="250"/>
    <n v="15"/>
    <n v="414725"/>
    <n v="3051.75"/>
    <x v="607"/>
    <n v="15650"/>
    <n v="396023.25"/>
    <x v="10"/>
    <n v="10"/>
    <s v="October"/>
    <x v="0"/>
  </r>
  <r>
    <x v="3"/>
    <x v="0"/>
    <x v="5"/>
    <x v="3"/>
    <n v="1659"/>
    <n v="260"/>
    <n v="125"/>
    <n v="638715"/>
    <n v="26958.75"/>
    <x v="608"/>
    <n v="199080"/>
    <n v="412676.25"/>
    <x v="0"/>
    <n v="1"/>
    <s v="January"/>
    <x v="0"/>
  </r>
  <r>
    <x v="0"/>
    <x v="2"/>
    <x v="5"/>
    <x v="3"/>
    <n v="1190"/>
    <n v="260"/>
    <n v="7"/>
    <n v="317730"/>
    <n v="1082.9000000000001"/>
    <x v="609"/>
    <n v="5950"/>
    <n v="310697.09999999998"/>
    <x v="1"/>
    <n v="6"/>
    <s v="June"/>
    <x v="0"/>
  </r>
  <r>
    <x v="2"/>
    <x v="3"/>
    <x v="5"/>
    <x v="3"/>
    <n v="410"/>
    <n v="260"/>
    <n v="12"/>
    <n v="111520"/>
    <n v="639.6"/>
    <x v="610"/>
    <n v="1230"/>
    <n v="109650.4"/>
    <x v="10"/>
    <n v="10"/>
    <s v="October"/>
    <x v="0"/>
  </r>
  <r>
    <x v="2"/>
    <x v="1"/>
    <x v="5"/>
    <x v="3"/>
    <n v="1770"/>
    <n v="260"/>
    <n v="12"/>
    <n v="481440"/>
    <n v="2761.2"/>
    <x v="611"/>
    <n v="5310"/>
    <n v="473368.8"/>
    <x v="12"/>
    <n v="12"/>
    <s v="December"/>
    <x v="1"/>
  </r>
  <r>
    <x v="0"/>
    <x v="3"/>
    <x v="0"/>
    <x v="3"/>
    <n v="2579"/>
    <n v="3"/>
    <n v="20"/>
    <n v="59317"/>
    <n v="7221.2"/>
    <x v="612"/>
    <n v="25790"/>
    <n v="26305.800000000003"/>
    <x v="13"/>
    <n v="4"/>
    <s v="April"/>
    <x v="0"/>
  </r>
  <r>
    <x v="0"/>
    <x v="4"/>
    <x v="0"/>
    <x v="3"/>
    <n v="1743"/>
    <n v="3"/>
    <n v="20"/>
    <n v="40089"/>
    <n v="4880.3999999999996"/>
    <x v="613"/>
    <n v="17430"/>
    <n v="17778.599999999999"/>
    <x v="14"/>
    <n v="5"/>
    <s v="May"/>
    <x v="0"/>
  </r>
  <r>
    <x v="0"/>
    <x v="4"/>
    <x v="0"/>
    <x v="3"/>
    <n v="2996"/>
    <n v="3"/>
    <n v="7"/>
    <n v="29960"/>
    <n v="2936.08"/>
    <x v="614"/>
    <n v="14980"/>
    <n v="12043.919999999998"/>
    <x v="7"/>
    <n v="10"/>
    <s v="October"/>
    <x v="1"/>
  </r>
  <r>
    <x v="0"/>
    <x v="1"/>
    <x v="0"/>
    <x v="3"/>
    <n v="280"/>
    <n v="3"/>
    <n v="7"/>
    <n v="2800"/>
    <n v="274.39999999999998"/>
    <x v="615"/>
    <n v="1400"/>
    <n v="1125.5999999999999"/>
    <x v="2"/>
    <n v="12"/>
    <s v="December"/>
    <x v="0"/>
  </r>
  <r>
    <x v="0"/>
    <x v="2"/>
    <x v="1"/>
    <x v="3"/>
    <n v="293"/>
    <n v="5"/>
    <n v="7"/>
    <n v="3516"/>
    <n v="287.14"/>
    <x v="616"/>
    <n v="1465"/>
    <n v="1763.8600000000001"/>
    <x v="8"/>
    <n v="2"/>
    <s v="February"/>
    <x v="0"/>
  </r>
  <r>
    <x v="0"/>
    <x v="4"/>
    <x v="1"/>
    <x v="3"/>
    <n v="2996"/>
    <n v="5"/>
    <n v="7"/>
    <n v="35952"/>
    <n v="2936.08"/>
    <x v="617"/>
    <n v="14980"/>
    <n v="18035.919999999998"/>
    <x v="7"/>
    <n v="10"/>
    <s v="October"/>
    <x v="1"/>
  </r>
  <r>
    <x v="1"/>
    <x v="1"/>
    <x v="2"/>
    <x v="3"/>
    <n v="278"/>
    <n v="10"/>
    <n v="15"/>
    <n v="6950"/>
    <n v="583.79999999999995"/>
    <x v="618"/>
    <n v="2780"/>
    <n v="3586.2"/>
    <x v="8"/>
    <n v="2"/>
    <s v="February"/>
    <x v="0"/>
  </r>
  <r>
    <x v="0"/>
    <x v="0"/>
    <x v="2"/>
    <x v="3"/>
    <n v="2428"/>
    <n v="10"/>
    <n v="20"/>
    <n v="72840"/>
    <n v="6798.4"/>
    <x v="619"/>
    <n v="24280"/>
    <n v="41761.600000000006"/>
    <x v="3"/>
    <n v="3"/>
    <s v="March"/>
    <x v="0"/>
  </r>
  <r>
    <x v="1"/>
    <x v="4"/>
    <x v="2"/>
    <x v="3"/>
    <n v="1767"/>
    <n v="10"/>
    <n v="15"/>
    <n v="44175"/>
    <n v="3710.7"/>
    <x v="620"/>
    <n v="17670"/>
    <n v="22794.300000000003"/>
    <x v="6"/>
    <n v="9"/>
    <s v="September"/>
    <x v="0"/>
  </r>
  <r>
    <x v="2"/>
    <x v="2"/>
    <x v="2"/>
    <x v="3"/>
    <n v="1393"/>
    <n v="10"/>
    <n v="12"/>
    <n v="30646"/>
    <n v="2340.2399999999998"/>
    <x v="621"/>
    <n v="4179"/>
    <n v="24126.760000000002"/>
    <x v="10"/>
    <n v="10"/>
    <s v="October"/>
    <x v="0"/>
  </r>
  <r>
    <x v="0"/>
    <x v="1"/>
    <x v="4"/>
    <x v="3"/>
    <n v="280"/>
    <n v="250"/>
    <n v="7"/>
    <n v="71960"/>
    <n v="274.39999999999998"/>
    <x v="622"/>
    <n v="1400"/>
    <n v="70285.600000000006"/>
    <x v="2"/>
    <n v="12"/>
    <s v="December"/>
    <x v="0"/>
  </r>
  <r>
    <x v="2"/>
    <x v="2"/>
    <x v="5"/>
    <x v="3"/>
    <n v="1393"/>
    <n v="260"/>
    <n v="12"/>
    <n v="378896"/>
    <n v="2340.2399999999998"/>
    <x v="623"/>
    <n v="4179"/>
    <n v="372376.76"/>
    <x v="10"/>
    <n v="10"/>
    <s v="October"/>
    <x v="0"/>
  </r>
  <r>
    <x v="2"/>
    <x v="4"/>
    <x v="5"/>
    <x v="3"/>
    <n v="2015"/>
    <n v="260"/>
    <n v="12"/>
    <n v="548080"/>
    <n v="3385.2"/>
    <x v="624"/>
    <n v="6045"/>
    <n v="538649.80000000005"/>
    <x v="12"/>
    <n v="12"/>
    <s v="December"/>
    <x v="1"/>
  </r>
  <r>
    <x v="4"/>
    <x v="3"/>
    <x v="0"/>
    <x v="3"/>
    <n v="801"/>
    <n v="3"/>
    <n v="300"/>
    <n v="242703"/>
    <n v="33642"/>
    <x v="625"/>
    <n v="200250"/>
    <n v="8811"/>
    <x v="4"/>
    <n v="7"/>
    <s v="July"/>
    <x v="0"/>
  </r>
  <r>
    <x v="3"/>
    <x v="2"/>
    <x v="0"/>
    <x v="3"/>
    <n v="1023"/>
    <n v="3"/>
    <n v="125"/>
    <n v="130944"/>
    <n v="17902.5"/>
    <x v="626"/>
    <n v="122760"/>
    <n v="-9718.5"/>
    <x v="9"/>
    <n v="9"/>
    <s v="September"/>
    <x v="1"/>
  </r>
  <r>
    <x v="4"/>
    <x v="0"/>
    <x v="0"/>
    <x v="3"/>
    <n v="1496"/>
    <n v="3"/>
    <n v="300"/>
    <n v="453288"/>
    <n v="62832"/>
    <x v="627"/>
    <n v="374000"/>
    <n v="16456"/>
    <x v="10"/>
    <n v="10"/>
    <s v="October"/>
    <x v="0"/>
  </r>
  <r>
    <x v="4"/>
    <x v="4"/>
    <x v="0"/>
    <x v="3"/>
    <n v="1010"/>
    <n v="3"/>
    <n v="300"/>
    <n v="306030"/>
    <n v="42420"/>
    <x v="628"/>
    <n v="252500"/>
    <n v="11110"/>
    <x v="10"/>
    <n v="10"/>
    <s v="October"/>
    <x v="0"/>
  </r>
  <r>
    <x v="1"/>
    <x v="1"/>
    <x v="0"/>
    <x v="3"/>
    <n v="1513"/>
    <n v="3"/>
    <n v="15"/>
    <n v="27234"/>
    <n v="3177.3"/>
    <x v="629"/>
    <n v="15130"/>
    <n v="8926.7000000000007"/>
    <x v="15"/>
    <n v="11"/>
    <s v="November"/>
    <x v="0"/>
  </r>
  <r>
    <x v="1"/>
    <x v="0"/>
    <x v="0"/>
    <x v="3"/>
    <n v="2300"/>
    <n v="3"/>
    <n v="15"/>
    <n v="41400"/>
    <n v="4830"/>
    <x v="630"/>
    <n v="23000"/>
    <n v="13570"/>
    <x v="2"/>
    <n v="12"/>
    <s v="December"/>
    <x v="0"/>
  </r>
  <r>
    <x v="3"/>
    <x v="3"/>
    <x v="0"/>
    <x v="3"/>
    <n v="2821"/>
    <n v="3"/>
    <n v="125"/>
    <n v="361088"/>
    <n v="49367.5"/>
    <x v="631"/>
    <n v="338520"/>
    <n v="-26799.5"/>
    <x v="12"/>
    <n v="12"/>
    <s v="December"/>
    <x v="1"/>
  </r>
  <r>
    <x v="0"/>
    <x v="0"/>
    <x v="1"/>
    <x v="3"/>
    <n v="2227.5"/>
    <n v="5"/>
    <n v="350"/>
    <n v="790762.5"/>
    <n v="109147.5"/>
    <x v="632"/>
    <n v="579150"/>
    <n v="102465"/>
    <x v="0"/>
    <n v="1"/>
    <s v="January"/>
    <x v="0"/>
  </r>
  <r>
    <x v="0"/>
    <x v="1"/>
    <x v="1"/>
    <x v="3"/>
    <n v="1199"/>
    <n v="5"/>
    <n v="350"/>
    <n v="425645"/>
    <n v="58751"/>
    <x v="633"/>
    <n v="311740"/>
    <n v="55154"/>
    <x v="13"/>
    <n v="4"/>
    <s v="April"/>
    <x v="0"/>
  </r>
  <r>
    <x v="0"/>
    <x v="0"/>
    <x v="1"/>
    <x v="3"/>
    <n v="200"/>
    <n v="5"/>
    <n v="350"/>
    <n v="71000"/>
    <n v="9800"/>
    <x v="634"/>
    <n v="52000"/>
    <n v="9200"/>
    <x v="14"/>
    <n v="5"/>
    <s v="May"/>
    <x v="0"/>
  </r>
  <r>
    <x v="0"/>
    <x v="0"/>
    <x v="1"/>
    <x v="3"/>
    <n v="388"/>
    <n v="5"/>
    <n v="7"/>
    <n v="4656"/>
    <n v="380.24"/>
    <x v="635"/>
    <n v="1940"/>
    <n v="2335.7600000000002"/>
    <x v="6"/>
    <n v="9"/>
    <s v="September"/>
    <x v="0"/>
  </r>
  <r>
    <x v="0"/>
    <x v="3"/>
    <x v="1"/>
    <x v="3"/>
    <n v="1727"/>
    <n v="5"/>
    <n v="7"/>
    <n v="20724"/>
    <n v="1692.46"/>
    <x v="636"/>
    <n v="8635"/>
    <n v="10396.540000000001"/>
    <x v="7"/>
    <n v="10"/>
    <s v="October"/>
    <x v="1"/>
  </r>
  <r>
    <x v="1"/>
    <x v="0"/>
    <x v="1"/>
    <x v="3"/>
    <n v="2300"/>
    <n v="5"/>
    <n v="15"/>
    <n v="46000"/>
    <n v="4830"/>
    <x v="637"/>
    <n v="23000"/>
    <n v="18170"/>
    <x v="2"/>
    <n v="12"/>
    <s v="December"/>
    <x v="0"/>
  </r>
  <r>
    <x v="0"/>
    <x v="3"/>
    <x v="2"/>
    <x v="3"/>
    <n v="260"/>
    <n v="10"/>
    <n v="20"/>
    <n v="7800"/>
    <n v="728"/>
    <x v="638"/>
    <n v="2600"/>
    <n v="4472"/>
    <x v="8"/>
    <n v="2"/>
    <s v="February"/>
    <x v="0"/>
  </r>
  <r>
    <x v="1"/>
    <x v="0"/>
    <x v="2"/>
    <x v="3"/>
    <n v="2470"/>
    <n v="10"/>
    <n v="15"/>
    <n v="61750"/>
    <n v="5187"/>
    <x v="639"/>
    <n v="24700"/>
    <n v="31863"/>
    <x v="9"/>
    <n v="9"/>
    <s v="September"/>
    <x v="1"/>
  </r>
  <r>
    <x v="1"/>
    <x v="0"/>
    <x v="2"/>
    <x v="3"/>
    <n v="1743"/>
    <n v="10"/>
    <n v="15"/>
    <n v="43575"/>
    <n v="3660.3"/>
    <x v="640"/>
    <n v="17430"/>
    <n v="22484.699999999997"/>
    <x v="7"/>
    <n v="10"/>
    <s v="October"/>
    <x v="1"/>
  </r>
  <r>
    <x v="2"/>
    <x v="4"/>
    <x v="2"/>
    <x v="3"/>
    <n v="2914"/>
    <n v="10"/>
    <n v="12"/>
    <n v="64108"/>
    <n v="4895.5200000000004"/>
    <x v="641"/>
    <n v="8742"/>
    <n v="50470.479999999996"/>
    <x v="10"/>
    <n v="10"/>
    <s v="October"/>
    <x v="0"/>
  </r>
  <r>
    <x v="0"/>
    <x v="2"/>
    <x v="2"/>
    <x v="3"/>
    <n v="1731"/>
    <n v="10"/>
    <n v="7"/>
    <n v="29427"/>
    <n v="1696.38"/>
    <x v="642"/>
    <n v="8655"/>
    <n v="19075.62"/>
    <x v="10"/>
    <n v="10"/>
    <s v="October"/>
    <x v="0"/>
  </r>
  <r>
    <x v="0"/>
    <x v="0"/>
    <x v="2"/>
    <x v="3"/>
    <n v="700"/>
    <n v="10"/>
    <n v="350"/>
    <n v="252000"/>
    <n v="34300"/>
    <x v="643"/>
    <n v="182000"/>
    <n v="35700"/>
    <x v="15"/>
    <n v="11"/>
    <s v="November"/>
    <x v="0"/>
  </r>
  <r>
    <x v="2"/>
    <x v="0"/>
    <x v="2"/>
    <x v="3"/>
    <n v="2222"/>
    <n v="10"/>
    <n v="12"/>
    <n v="48884"/>
    <n v="3732.96"/>
    <x v="644"/>
    <n v="6666"/>
    <n v="38485.040000000001"/>
    <x v="11"/>
    <n v="11"/>
    <s v="November"/>
    <x v="1"/>
  </r>
  <r>
    <x v="0"/>
    <x v="4"/>
    <x v="2"/>
    <x v="3"/>
    <n v="1177"/>
    <n v="10"/>
    <n v="350"/>
    <n v="423720"/>
    <n v="57673"/>
    <x v="645"/>
    <n v="306020"/>
    <n v="60027"/>
    <x v="15"/>
    <n v="11"/>
    <s v="November"/>
    <x v="0"/>
  </r>
  <r>
    <x v="0"/>
    <x v="2"/>
    <x v="2"/>
    <x v="3"/>
    <n v="1922"/>
    <n v="10"/>
    <n v="350"/>
    <n v="691920"/>
    <n v="94178"/>
    <x v="646"/>
    <n v="499720"/>
    <n v="98022"/>
    <x v="11"/>
    <n v="11"/>
    <s v="November"/>
    <x v="1"/>
  </r>
  <r>
    <x v="3"/>
    <x v="3"/>
    <x v="3"/>
    <x v="3"/>
    <n v="1575"/>
    <n v="120"/>
    <n v="125"/>
    <n v="385875"/>
    <n v="27562.5"/>
    <x v="647"/>
    <n v="189000"/>
    <n v="169312.5"/>
    <x v="8"/>
    <n v="2"/>
    <s v="February"/>
    <x v="0"/>
  </r>
  <r>
    <x v="0"/>
    <x v="4"/>
    <x v="3"/>
    <x v="3"/>
    <n v="606"/>
    <n v="120"/>
    <n v="20"/>
    <n v="84840"/>
    <n v="1696.8000000000002"/>
    <x v="648"/>
    <n v="6060"/>
    <n v="77083.199999999997"/>
    <x v="13"/>
    <n v="4"/>
    <s v="April"/>
    <x v="0"/>
  </r>
  <r>
    <x v="4"/>
    <x v="4"/>
    <x v="3"/>
    <x v="3"/>
    <n v="2460"/>
    <n v="120"/>
    <n v="300"/>
    <n v="1033200"/>
    <n v="103320"/>
    <x v="649"/>
    <n v="615000"/>
    <n v="314880"/>
    <x v="4"/>
    <n v="7"/>
    <s v="July"/>
    <x v="0"/>
  </r>
  <r>
    <x v="4"/>
    <x v="0"/>
    <x v="3"/>
    <x v="3"/>
    <n v="269"/>
    <n v="120"/>
    <n v="300"/>
    <n v="112980"/>
    <n v="11298"/>
    <x v="650"/>
    <n v="67250"/>
    <n v="34432"/>
    <x v="7"/>
    <n v="10"/>
    <s v="October"/>
    <x v="1"/>
  </r>
  <r>
    <x v="4"/>
    <x v="1"/>
    <x v="3"/>
    <x v="3"/>
    <n v="2536"/>
    <n v="120"/>
    <n v="300"/>
    <n v="1065120"/>
    <n v="106512"/>
    <x v="651"/>
    <n v="634000"/>
    <n v="324608"/>
    <x v="11"/>
    <n v="11"/>
    <s v="November"/>
    <x v="1"/>
  </r>
  <r>
    <x v="0"/>
    <x v="3"/>
    <x v="4"/>
    <x v="3"/>
    <n v="2903"/>
    <n v="250"/>
    <n v="7"/>
    <n v="746071"/>
    <n v="2844.94"/>
    <x v="652"/>
    <n v="14515"/>
    <n v="728711.06"/>
    <x v="3"/>
    <n v="3"/>
    <s v="March"/>
    <x v="0"/>
  </r>
  <r>
    <x v="4"/>
    <x v="4"/>
    <x v="4"/>
    <x v="3"/>
    <n v="2541"/>
    <n v="250"/>
    <n v="300"/>
    <n v="1397550"/>
    <n v="106722"/>
    <x v="653"/>
    <n v="635250"/>
    <n v="655578"/>
    <x v="5"/>
    <n v="8"/>
    <s v="August"/>
    <x v="0"/>
  </r>
  <r>
    <x v="4"/>
    <x v="0"/>
    <x v="4"/>
    <x v="3"/>
    <n v="269"/>
    <n v="250"/>
    <n v="300"/>
    <n v="147950"/>
    <n v="11298"/>
    <x v="654"/>
    <n v="67250"/>
    <n v="69402"/>
    <x v="7"/>
    <n v="10"/>
    <s v="October"/>
    <x v="1"/>
  </r>
  <r>
    <x v="4"/>
    <x v="0"/>
    <x v="4"/>
    <x v="3"/>
    <n v="1496"/>
    <n v="250"/>
    <n v="300"/>
    <n v="822800"/>
    <n v="62832"/>
    <x v="655"/>
    <n v="374000"/>
    <n v="385968"/>
    <x v="10"/>
    <n v="10"/>
    <s v="October"/>
    <x v="0"/>
  </r>
  <r>
    <x v="4"/>
    <x v="4"/>
    <x v="4"/>
    <x v="3"/>
    <n v="1010"/>
    <n v="250"/>
    <n v="300"/>
    <n v="555500"/>
    <n v="42420"/>
    <x v="656"/>
    <n v="252500"/>
    <n v="260580"/>
    <x v="10"/>
    <n v="10"/>
    <s v="October"/>
    <x v="0"/>
  </r>
  <r>
    <x v="0"/>
    <x v="2"/>
    <x v="4"/>
    <x v="3"/>
    <n v="1281"/>
    <n v="250"/>
    <n v="350"/>
    <n v="768600"/>
    <n v="62769"/>
    <x v="657"/>
    <n v="333060"/>
    <n v="372771"/>
    <x v="12"/>
    <n v="12"/>
    <s v="December"/>
    <x v="1"/>
  </r>
  <r>
    <x v="4"/>
    <x v="0"/>
    <x v="5"/>
    <x v="3"/>
    <n v="888"/>
    <n v="260"/>
    <n v="300"/>
    <n v="497280"/>
    <n v="37296"/>
    <x v="658"/>
    <n v="222000"/>
    <n v="237984"/>
    <x v="3"/>
    <n v="3"/>
    <s v="March"/>
    <x v="0"/>
  </r>
  <r>
    <x v="3"/>
    <x v="4"/>
    <x v="5"/>
    <x v="3"/>
    <n v="2844"/>
    <n v="260"/>
    <n v="125"/>
    <n v="1094940"/>
    <n v="49770"/>
    <x v="659"/>
    <n v="341280"/>
    <n v="703890"/>
    <x v="14"/>
    <n v="5"/>
    <s v="May"/>
    <x v="0"/>
  </r>
  <r>
    <x v="2"/>
    <x v="2"/>
    <x v="5"/>
    <x v="3"/>
    <n v="2475"/>
    <n v="260"/>
    <n v="12"/>
    <n v="673200"/>
    <n v="4158"/>
    <x v="660"/>
    <n v="7425"/>
    <n v="661617"/>
    <x v="5"/>
    <n v="8"/>
    <s v="August"/>
    <x v="0"/>
  </r>
  <r>
    <x v="1"/>
    <x v="0"/>
    <x v="5"/>
    <x v="3"/>
    <n v="1743"/>
    <n v="260"/>
    <n v="15"/>
    <n v="479325"/>
    <n v="3660.3"/>
    <x v="661"/>
    <n v="17430"/>
    <n v="458234.7"/>
    <x v="7"/>
    <n v="10"/>
    <s v="October"/>
    <x v="1"/>
  </r>
  <r>
    <x v="2"/>
    <x v="4"/>
    <x v="5"/>
    <x v="3"/>
    <n v="2914"/>
    <n v="260"/>
    <n v="12"/>
    <n v="792608"/>
    <n v="4895.5200000000004"/>
    <x v="662"/>
    <n v="8742"/>
    <n v="778970.48"/>
    <x v="10"/>
    <n v="10"/>
    <s v="October"/>
    <x v="0"/>
  </r>
  <r>
    <x v="0"/>
    <x v="2"/>
    <x v="5"/>
    <x v="3"/>
    <n v="1731"/>
    <n v="260"/>
    <n v="7"/>
    <n v="462177"/>
    <n v="1696.38"/>
    <x v="663"/>
    <n v="8655"/>
    <n v="451825.62"/>
    <x v="10"/>
    <n v="10"/>
    <s v="October"/>
    <x v="0"/>
  </r>
  <r>
    <x v="0"/>
    <x v="3"/>
    <x v="5"/>
    <x v="3"/>
    <n v="1727"/>
    <n v="260"/>
    <n v="7"/>
    <n v="461109"/>
    <n v="1692.46"/>
    <x v="664"/>
    <n v="8635"/>
    <n v="450781.54"/>
    <x v="7"/>
    <n v="10"/>
    <s v="October"/>
    <x v="1"/>
  </r>
  <r>
    <x v="1"/>
    <x v="3"/>
    <x v="5"/>
    <x v="3"/>
    <n v="1870"/>
    <n v="260"/>
    <n v="15"/>
    <n v="514250"/>
    <n v="3927"/>
    <x v="665"/>
    <n v="18700"/>
    <n v="491623"/>
    <x v="11"/>
    <n v="11"/>
    <s v="November"/>
    <x v="1"/>
  </r>
  <r>
    <x v="3"/>
    <x v="2"/>
    <x v="0"/>
    <x v="3"/>
    <n v="1174"/>
    <n v="3"/>
    <n v="125"/>
    <n v="150272"/>
    <n v="22012.5"/>
    <x v="666"/>
    <n v="140880"/>
    <n v="-12620.5"/>
    <x v="5"/>
    <n v="8"/>
    <s v="August"/>
    <x v="0"/>
  </r>
  <r>
    <x v="3"/>
    <x v="1"/>
    <x v="0"/>
    <x v="3"/>
    <n v="2767"/>
    <n v="3"/>
    <n v="125"/>
    <n v="354176"/>
    <n v="51881.25"/>
    <x v="667"/>
    <n v="332040"/>
    <n v="-29745.25"/>
    <x v="5"/>
    <n v="8"/>
    <s v="August"/>
    <x v="0"/>
  </r>
  <r>
    <x v="3"/>
    <x v="1"/>
    <x v="0"/>
    <x v="3"/>
    <n v="1085"/>
    <n v="3"/>
    <n v="125"/>
    <n v="138880"/>
    <n v="20343.75"/>
    <x v="668"/>
    <n v="130200"/>
    <n v="-11663.75"/>
    <x v="10"/>
    <n v="10"/>
    <s v="October"/>
    <x v="0"/>
  </r>
  <r>
    <x v="4"/>
    <x v="3"/>
    <x v="1"/>
    <x v="3"/>
    <n v="546"/>
    <n v="5"/>
    <n v="300"/>
    <n v="166530"/>
    <n v="24570"/>
    <x v="669"/>
    <n v="136500"/>
    <n v="5460"/>
    <x v="10"/>
    <n v="10"/>
    <s v="October"/>
    <x v="0"/>
  </r>
  <r>
    <x v="0"/>
    <x v="1"/>
    <x v="2"/>
    <x v="3"/>
    <n v="1158"/>
    <n v="10"/>
    <n v="20"/>
    <n v="34740"/>
    <n v="3474"/>
    <x v="670"/>
    <n v="11580"/>
    <n v="19686"/>
    <x v="3"/>
    <n v="3"/>
    <s v="March"/>
    <x v="0"/>
  </r>
  <r>
    <x v="1"/>
    <x v="0"/>
    <x v="2"/>
    <x v="3"/>
    <n v="1614"/>
    <n v="10"/>
    <n v="15"/>
    <n v="40350"/>
    <n v="3631.5"/>
    <x v="671"/>
    <n v="16140"/>
    <n v="20578.5"/>
    <x v="13"/>
    <n v="4"/>
    <s v="April"/>
    <x v="0"/>
  </r>
  <r>
    <x v="0"/>
    <x v="3"/>
    <x v="2"/>
    <x v="3"/>
    <n v="2535"/>
    <n v="10"/>
    <n v="7"/>
    <n v="43095"/>
    <n v="2661.75"/>
    <x v="672"/>
    <n v="12675"/>
    <n v="27758.25"/>
    <x v="13"/>
    <n v="4"/>
    <s v="April"/>
    <x v="0"/>
  </r>
  <r>
    <x v="0"/>
    <x v="3"/>
    <x v="2"/>
    <x v="3"/>
    <n v="2851"/>
    <n v="10"/>
    <n v="350"/>
    <n v="1026360"/>
    <n v="149677.5"/>
    <x v="673"/>
    <n v="741260"/>
    <n v="135422.5"/>
    <x v="14"/>
    <n v="5"/>
    <s v="May"/>
    <x v="0"/>
  </r>
  <r>
    <x v="1"/>
    <x v="0"/>
    <x v="2"/>
    <x v="3"/>
    <n v="2559"/>
    <n v="10"/>
    <n v="15"/>
    <n v="63975"/>
    <n v="5757.75"/>
    <x v="674"/>
    <n v="25590"/>
    <n v="32627.25"/>
    <x v="5"/>
    <n v="8"/>
    <s v="August"/>
    <x v="0"/>
  </r>
  <r>
    <x v="0"/>
    <x v="4"/>
    <x v="2"/>
    <x v="3"/>
    <n v="267"/>
    <n v="10"/>
    <n v="20"/>
    <n v="8010"/>
    <n v="801"/>
    <x v="675"/>
    <n v="2670"/>
    <n v="4539"/>
    <x v="7"/>
    <n v="10"/>
    <s v="October"/>
    <x v="1"/>
  </r>
  <r>
    <x v="3"/>
    <x v="1"/>
    <x v="2"/>
    <x v="3"/>
    <n v="1085"/>
    <n v="10"/>
    <n v="125"/>
    <n v="146475"/>
    <n v="20343.75"/>
    <x v="676"/>
    <n v="130200"/>
    <n v="-4068.75"/>
    <x v="10"/>
    <n v="10"/>
    <s v="October"/>
    <x v="0"/>
  </r>
  <r>
    <x v="1"/>
    <x v="1"/>
    <x v="2"/>
    <x v="3"/>
    <n v="1175"/>
    <n v="10"/>
    <n v="15"/>
    <n v="29375"/>
    <n v="2643.75"/>
    <x v="677"/>
    <n v="11750"/>
    <n v="14981.25"/>
    <x v="10"/>
    <n v="10"/>
    <s v="October"/>
    <x v="0"/>
  </r>
  <r>
    <x v="0"/>
    <x v="4"/>
    <x v="2"/>
    <x v="3"/>
    <n v="2007"/>
    <n v="10"/>
    <n v="350"/>
    <n v="722520"/>
    <n v="105367.5"/>
    <x v="678"/>
    <n v="521820"/>
    <n v="95332.5"/>
    <x v="11"/>
    <n v="11"/>
    <s v="November"/>
    <x v="1"/>
  </r>
  <r>
    <x v="0"/>
    <x v="3"/>
    <x v="2"/>
    <x v="3"/>
    <n v="2151"/>
    <n v="10"/>
    <n v="350"/>
    <n v="774360"/>
    <n v="112927.5"/>
    <x v="679"/>
    <n v="559260"/>
    <n v="102172.5"/>
    <x v="11"/>
    <n v="11"/>
    <s v="November"/>
    <x v="1"/>
  </r>
  <r>
    <x v="2"/>
    <x v="4"/>
    <x v="2"/>
    <x v="3"/>
    <n v="914"/>
    <n v="10"/>
    <n v="12"/>
    <n v="20108"/>
    <n v="1645.2"/>
    <x v="680"/>
    <n v="2742"/>
    <n v="15720.8"/>
    <x v="2"/>
    <n v="12"/>
    <s v="December"/>
    <x v="0"/>
  </r>
  <r>
    <x v="0"/>
    <x v="2"/>
    <x v="2"/>
    <x v="3"/>
    <n v="293"/>
    <n v="10"/>
    <n v="20"/>
    <n v="8790"/>
    <n v="879"/>
    <x v="681"/>
    <n v="2930"/>
    <n v="4981"/>
    <x v="2"/>
    <n v="12"/>
    <s v="December"/>
    <x v="0"/>
  </r>
  <r>
    <x v="2"/>
    <x v="3"/>
    <x v="3"/>
    <x v="3"/>
    <n v="500"/>
    <n v="120"/>
    <n v="12"/>
    <n v="66000"/>
    <n v="900"/>
    <x v="682"/>
    <n v="1500"/>
    <n v="63600"/>
    <x v="3"/>
    <n v="3"/>
    <s v="March"/>
    <x v="0"/>
  </r>
  <r>
    <x v="1"/>
    <x v="2"/>
    <x v="3"/>
    <x v="3"/>
    <n v="2826"/>
    <n v="120"/>
    <n v="15"/>
    <n v="381510"/>
    <n v="6358.5"/>
    <x v="683"/>
    <n v="28260"/>
    <n v="346891.5"/>
    <x v="14"/>
    <n v="5"/>
    <s v="May"/>
    <x v="0"/>
  </r>
  <r>
    <x v="3"/>
    <x v="2"/>
    <x v="3"/>
    <x v="3"/>
    <n v="663"/>
    <n v="120"/>
    <n v="125"/>
    <n v="162435"/>
    <n v="12431.25"/>
    <x v="684"/>
    <n v="79560"/>
    <n v="70443.75"/>
    <x v="6"/>
    <n v="9"/>
    <s v="September"/>
    <x v="0"/>
  </r>
  <r>
    <x v="4"/>
    <x v="4"/>
    <x v="3"/>
    <x v="3"/>
    <n v="2574"/>
    <n v="120"/>
    <n v="300"/>
    <n v="1081080"/>
    <n v="115830"/>
    <x v="685"/>
    <n v="643500"/>
    <n v="321750"/>
    <x v="11"/>
    <n v="11"/>
    <s v="November"/>
    <x v="1"/>
  </r>
  <r>
    <x v="3"/>
    <x v="4"/>
    <x v="3"/>
    <x v="3"/>
    <n v="2438"/>
    <n v="120"/>
    <n v="125"/>
    <n v="597310"/>
    <n v="45712.5"/>
    <x v="686"/>
    <n v="292560"/>
    <n v="259037.5"/>
    <x v="12"/>
    <n v="12"/>
    <s v="December"/>
    <x v="1"/>
  </r>
  <r>
    <x v="2"/>
    <x v="4"/>
    <x v="3"/>
    <x v="3"/>
    <n v="914"/>
    <n v="120"/>
    <n v="12"/>
    <n v="120648"/>
    <n v="1645.2"/>
    <x v="687"/>
    <n v="2742"/>
    <n v="116260.8"/>
    <x v="2"/>
    <n v="12"/>
    <s v="December"/>
    <x v="0"/>
  </r>
  <r>
    <x v="0"/>
    <x v="0"/>
    <x v="4"/>
    <x v="3"/>
    <n v="865.5"/>
    <n v="250"/>
    <n v="20"/>
    <n v="233685"/>
    <n v="2596.5"/>
    <x v="688"/>
    <n v="8655"/>
    <n v="222433.5"/>
    <x v="4"/>
    <n v="7"/>
    <s v="July"/>
    <x v="0"/>
  </r>
  <r>
    <x v="1"/>
    <x v="1"/>
    <x v="4"/>
    <x v="3"/>
    <n v="492"/>
    <n v="250"/>
    <n v="15"/>
    <n v="130380"/>
    <n v="1107"/>
    <x v="689"/>
    <n v="4920"/>
    <n v="124353"/>
    <x v="4"/>
    <n v="7"/>
    <s v="July"/>
    <x v="0"/>
  </r>
  <r>
    <x v="0"/>
    <x v="4"/>
    <x v="4"/>
    <x v="3"/>
    <n v="267"/>
    <n v="250"/>
    <n v="20"/>
    <n v="72090"/>
    <n v="801"/>
    <x v="690"/>
    <n v="2670"/>
    <n v="68619"/>
    <x v="7"/>
    <n v="10"/>
    <s v="October"/>
    <x v="1"/>
  </r>
  <r>
    <x v="1"/>
    <x v="1"/>
    <x v="4"/>
    <x v="3"/>
    <n v="1175"/>
    <n v="250"/>
    <n v="15"/>
    <n v="311375"/>
    <n v="2643.75"/>
    <x v="691"/>
    <n v="11750"/>
    <n v="296981.25"/>
    <x v="10"/>
    <n v="10"/>
    <s v="October"/>
    <x v="0"/>
  </r>
  <r>
    <x v="3"/>
    <x v="0"/>
    <x v="4"/>
    <x v="3"/>
    <n v="2954"/>
    <n v="250"/>
    <n v="125"/>
    <n v="1107750"/>
    <n v="55387.5"/>
    <x v="692"/>
    <n v="354480"/>
    <n v="697882.5"/>
    <x v="11"/>
    <n v="11"/>
    <s v="November"/>
    <x v="1"/>
  </r>
  <r>
    <x v="3"/>
    <x v="1"/>
    <x v="4"/>
    <x v="3"/>
    <n v="552"/>
    <n v="250"/>
    <n v="125"/>
    <n v="207000"/>
    <n v="10350"/>
    <x v="693"/>
    <n v="66240"/>
    <n v="130410"/>
    <x v="15"/>
    <n v="11"/>
    <s v="November"/>
    <x v="0"/>
  </r>
  <r>
    <x v="0"/>
    <x v="2"/>
    <x v="4"/>
    <x v="3"/>
    <n v="293"/>
    <n v="250"/>
    <n v="20"/>
    <n v="79110"/>
    <n v="879"/>
    <x v="694"/>
    <n v="2930"/>
    <n v="75301"/>
    <x v="2"/>
    <n v="12"/>
    <s v="December"/>
    <x v="0"/>
  </r>
  <r>
    <x v="4"/>
    <x v="2"/>
    <x v="5"/>
    <x v="3"/>
    <n v="2475"/>
    <n v="260"/>
    <n v="300"/>
    <n v="1386000"/>
    <n v="111375"/>
    <x v="695"/>
    <n v="618750"/>
    <n v="655875"/>
    <x v="3"/>
    <n v="3"/>
    <s v="March"/>
    <x v="0"/>
  </r>
  <r>
    <x v="4"/>
    <x v="3"/>
    <x v="5"/>
    <x v="3"/>
    <n v="546"/>
    <n v="260"/>
    <n v="300"/>
    <n v="305760"/>
    <n v="24570"/>
    <x v="696"/>
    <n v="136500"/>
    <n v="144690"/>
    <x v="10"/>
    <n v="10"/>
    <s v="October"/>
    <x v="0"/>
  </r>
  <r>
    <x v="0"/>
    <x v="3"/>
    <x v="1"/>
    <x v="3"/>
    <n v="1368"/>
    <n v="5"/>
    <n v="7"/>
    <n v="16416"/>
    <n v="1436.4"/>
    <x v="697"/>
    <n v="6840"/>
    <n v="8139.6"/>
    <x v="8"/>
    <n v="2"/>
    <s v="February"/>
    <x v="0"/>
  </r>
  <r>
    <x v="0"/>
    <x v="0"/>
    <x v="2"/>
    <x v="3"/>
    <n v="723"/>
    <n v="10"/>
    <n v="7"/>
    <n v="12291"/>
    <n v="759.15000000000009"/>
    <x v="698"/>
    <n v="3615"/>
    <n v="7916.85"/>
    <x v="13"/>
    <n v="4"/>
    <s v="April"/>
    <x v="0"/>
  </r>
  <r>
    <x v="2"/>
    <x v="4"/>
    <x v="4"/>
    <x v="3"/>
    <n v="1806"/>
    <n v="250"/>
    <n v="12"/>
    <n v="473172"/>
    <n v="3250.8"/>
    <x v="699"/>
    <n v="5418"/>
    <n v="464503.2"/>
    <x v="14"/>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D240B-38A2-4A51-809B-3938220BA2D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0:C55"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39093-4F78-47C6-B02C-85B8EF4B014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6:C32" firstHeaderRow="0" firstDataRow="1" firstDataCol="1" rowPageCount="1" colPageCount="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2">
    <i>
      <x/>
    </i>
    <i i="1">
      <x v="1"/>
    </i>
  </colItems>
  <pageFields count="1">
    <pageField fld="15" hier="-1"/>
  </pageFields>
  <dataFields count="2">
    <dataField name="Sum of  Sales" fld="9" baseField="0" baseItem="0" numFmtId="164"/>
    <dataField name="Sum of Profit" fld="11"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160CE-3375-4300-B961-C56A546F304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6:B39"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numFmtId="16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8"/>
    <field x="16"/>
    <field x="12"/>
  </rowFields>
  <rowItems count="3">
    <i>
      <x v="1"/>
    </i>
    <i>
      <x v="2"/>
    </i>
    <i t="grand">
      <x/>
    </i>
  </rowItems>
  <colItems count="1">
    <i/>
  </colItems>
  <dataFields count="1">
    <dataField name="Sum of  Sales"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04D83-0848-4874-93C6-A92D7224A97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9:B72"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Sales" fld="9"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3CC3B-E44A-4C89-B49F-33BCEF0D4F0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3:C19" firstHeaderRow="0"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items count="701">
        <item x="278"/>
        <item x="615"/>
        <item x="616"/>
        <item x="359"/>
        <item x="635"/>
        <item x="443"/>
        <item x="404"/>
        <item x="194"/>
        <item x="455"/>
        <item x="229"/>
        <item x="357"/>
        <item x="446"/>
        <item x="535"/>
        <item x="618"/>
        <item x="151"/>
        <item x="466"/>
        <item x="638"/>
        <item x="675"/>
        <item x="441"/>
        <item x="418"/>
        <item x="681"/>
        <item x="275"/>
        <item x="457"/>
        <item x="20"/>
        <item x="362"/>
        <item x="16"/>
        <item x="555"/>
        <item x="580"/>
        <item x="583"/>
        <item x="227"/>
        <item x="312"/>
        <item x="375"/>
        <item x="64"/>
        <item x="698"/>
        <item x="105"/>
        <item x="592"/>
        <item x="15"/>
        <item x="540"/>
        <item x="148"/>
        <item x="369"/>
        <item x="213"/>
        <item x="22"/>
        <item x="440"/>
        <item x="582"/>
        <item x="697"/>
        <item x="21"/>
        <item x="366"/>
        <item x="3"/>
        <item x="224"/>
        <item x="282"/>
        <item x="197"/>
        <item x="494"/>
        <item x="365"/>
        <item x="80"/>
        <item x="317"/>
        <item x="55"/>
        <item x="372"/>
        <item x="410"/>
        <item x="6"/>
        <item x="680"/>
        <item x="79"/>
        <item x="172"/>
        <item x="636"/>
        <item x="99"/>
        <item x="103"/>
        <item x="25"/>
        <item x="27"/>
        <item x="371"/>
        <item x="597"/>
        <item x="101"/>
        <item x="61"/>
        <item x="71"/>
        <item x="442"/>
        <item x="214"/>
        <item x="121"/>
        <item x="149"/>
        <item x="586"/>
        <item x="122"/>
        <item x="230"/>
        <item x="629"/>
        <item x="17"/>
        <item x="273"/>
        <item x="496"/>
        <item x="110"/>
        <item x="508"/>
        <item x="549"/>
        <item x="60"/>
        <item x="507"/>
        <item x="13"/>
        <item x="9"/>
        <item x="376"/>
        <item x="456"/>
        <item x="503"/>
        <item x="313"/>
        <item x="677"/>
        <item x="223"/>
        <item x="542"/>
        <item x="614"/>
        <item x="444"/>
        <item x="58"/>
        <item x="180"/>
        <item x="642"/>
        <item x="307"/>
        <item x="585"/>
        <item x="112"/>
        <item x="621"/>
        <item x="147"/>
        <item x="417"/>
        <item x="445"/>
        <item x="173"/>
        <item x="160"/>
        <item x="358"/>
        <item x="1"/>
        <item x="543"/>
        <item x="196"/>
        <item x="513"/>
        <item x="670"/>
        <item x="150"/>
        <item x="381"/>
        <item x="422"/>
        <item x="276"/>
        <item x="617"/>
        <item x="473"/>
        <item x="185"/>
        <item x="120"/>
        <item x="556"/>
        <item x="70"/>
        <item x="595"/>
        <item x="225"/>
        <item x="277"/>
        <item x="341"/>
        <item x="613"/>
        <item x="250"/>
        <item x="594"/>
        <item x="630"/>
        <item x="671"/>
        <item x="198"/>
        <item x="408"/>
        <item x="420"/>
        <item x="0"/>
        <item x="74"/>
        <item x="236"/>
        <item x="315"/>
        <item x="316"/>
        <item x="183"/>
        <item x="462"/>
        <item x="234"/>
        <item x="104"/>
        <item x="240"/>
        <item x="544"/>
        <item x="373"/>
        <item x="115"/>
        <item x="215"/>
        <item x="2"/>
        <item x="176"/>
        <item x="511"/>
        <item x="377"/>
        <item x="314"/>
        <item x="63"/>
        <item x="640"/>
        <item x="245"/>
        <item x="672"/>
        <item x="620"/>
        <item x="495"/>
        <item x="157"/>
        <item x="637"/>
        <item x="576"/>
        <item x="571"/>
        <item x="304"/>
        <item x="62"/>
        <item x="306"/>
        <item x="572"/>
        <item x="7"/>
        <item x="593"/>
        <item x="539"/>
        <item x="337"/>
        <item x="68"/>
        <item x="283"/>
        <item x="4"/>
        <item x="216"/>
        <item x="14"/>
        <item x="644"/>
        <item x="84"/>
        <item x="518"/>
        <item x="329"/>
        <item x="364"/>
        <item x="550"/>
        <item x="8"/>
        <item x="119"/>
        <item x="162"/>
        <item x="228"/>
        <item x="274"/>
        <item x="285"/>
        <item x="10"/>
        <item x="177"/>
        <item x="516"/>
        <item x="335"/>
        <item x="584"/>
        <item x="308"/>
        <item x="465"/>
        <item x="497"/>
        <item x="251"/>
        <item x="570"/>
        <item x="217"/>
        <item x="612"/>
        <item x="248"/>
        <item x="305"/>
        <item x="603"/>
        <item x="28"/>
        <item x="29"/>
        <item x="463"/>
        <item x="378"/>
        <item x="178"/>
        <item x="18"/>
        <item x="639"/>
        <item x="54"/>
        <item x="145"/>
        <item x="674"/>
        <item x="107"/>
        <item x="340"/>
        <item x="641"/>
        <item x="195"/>
        <item x="634"/>
        <item x="498"/>
        <item x="24"/>
        <item x="243"/>
        <item x="100"/>
        <item x="682"/>
        <item x="619"/>
        <item x="517"/>
        <item x="53"/>
        <item x="88"/>
        <item x="468"/>
        <item x="510"/>
        <item x="320"/>
        <item x="336"/>
        <item x="188"/>
        <item x="690"/>
        <item x="622"/>
        <item x="588"/>
        <item x="589"/>
        <item x="252"/>
        <item x="129"/>
        <item x="75"/>
        <item x="249"/>
        <item x="694"/>
        <item x="383"/>
        <item x="601"/>
        <item x="56"/>
        <item x="348"/>
        <item x="454"/>
        <item x="648"/>
        <item x="520"/>
        <item x="515"/>
        <item x="343"/>
        <item x="37"/>
        <item x="379"/>
        <item x="73"/>
        <item x="415"/>
        <item x="523"/>
        <item x="111"/>
        <item x="602"/>
        <item x="97"/>
        <item x="407"/>
        <item x="247"/>
        <item x="467"/>
        <item x="272"/>
        <item x="449"/>
        <item x="412"/>
        <item x="182"/>
        <item x="98"/>
        <item x="199"/>
        <item x="76"/>
        <item x="650"/>
        <item x="179"/>
        <item x="189"/>
        <item x="77"/>
        <item x="469"/>
        <item x="279"/>
        <item x="113"/>
        <item x="246"/>
        <item x="610"/>
        <item x="596"/>
        <item x="626"/>
        <item x="132"/>
        <item x="402"/>
        <item x="668"/>
        <item x="687"/>
        <item x="477"/>
        <item x="559"/>
        <item x="676"/>
        <item x="327"/>
        <item x="502"/>
        <item x="666"/>
        <item x="689"/>
        <item x="333"/>
        <item x="605"/>
        <item x="425"/>
        <item x="451"/>
        <item x="654"/>
        <item x="309"/>
        <item x="128"/>
        <item x="370"/>
        <item x="669"/>
        <item x="187"/>
        <item x="130"/>
        <item x="137"/>
        <item x="260"/>
        <item x="319"/>
        <item x="266"/>
        <item x="200"/>
        <item x="65"/>
        <item x="524"/>
        <item x="684"/>
        <item x="600"/>
        <item x="386"/>
        <item x="566"/>
        <item x="135"/>
        <item x="86"/>
        <item x="153"/>
        <item x="464"/>
        <item x="259"/>
        <item x="310"/>
        <item x="478"/>
        <item x="163"/>
        <item x="318"/>
        <item x="52"/>
        <item x="459"/>
        <item x="361"/>
        <item x="211"/>
        <item x="591"/>
        <item x="31"/>
        <item x="291"/>
        <item x="254"/>
        <item x="201"/>
        <item x="399"/>
        <item x="126"/>
        <item x="533"/>
        <item x="693"/>
        <item x="346"/>
        <item x="394"/>
        <item x="527"/>
        <item x="321"/>
        <item x="146"/>
        <item x="35"/>
        <item x="205"/>
        <item x="289"/>
        <item x="258"/>
        <item x="159"/>
        <item x="242"/>
        <item x="158"/>
        <item x="625"/>
        <item x="106"/>
        <item x="461"/>
        <item x="154"/>
        <item x="485"/>
        <item x="643"/>
        <item x="390"/>
        <item x="123"/>
        <item x="587"/>
        <item x="257"/>
        <item x="409"/>
        <item x="164"/>
        <item x="480"/>
        <item x="85"/>
        <item x="287"/>
        <item x="204"/>
        <item x="525"/>
        <item x="431"/>
        <item x="688"/>
        <item x="156"/>
        <item x="41"/>
        <item x="391"/>
        <item x="512"/>
        <item x="509"/>
        <item x="233"/>
        <item x="538"/>
        <item x="78"/>
        <item x="23"/>
        <item x="286"/>
        <item x="131"/>
        <item x="504"/>
        <item x="387"/>
        <item x="447"/>
        <item x="548"/>
        <item x="500"/>
        <item x="142"/>
        <item x="628"/>
        <item x="161"/>
        <item x="438"/>
        <item x="87"/>
        <item x="93"/>
        <item x="90"/>
        <item x="255"/>
        <item x="537"/>
        <item x="345"/>
        <item x="536"/>
        <item x="470"/>
        <item x="506"/>
        <item x="108"/>
        <item x="696"/>
        <item x="547"/>
        <item x="578"/>
        <item x="114"/>
        <item x="33"/>
        <item x="226"/>
        <item x="452"/>
        <item x="12"/>
        <item x="241"/>
        <item x="91"/>
        <item x="385"/>
        <item x="519"/>
        <item x="297"/>
        <item x="403"/>
        <item x="667"/>
        <item x="325"/>
        <item x="331"/>
        <item x="581"/>
        <item x="311"/>
        <item x="221"/>
        <item x="51"/>
        <item x="238"/>
        <item x="691"/>
        <item x="222"/>
        <item x="416"/>
        <item x="355"/>
        <item x="631"/>
        <item x="609"/>
        <item x="235"/>
        <item x="435"/>
        <item x="545"/>
        <item x="218"/>
        <item x="434"/>
        <item x="338"/>
        <item x="269"/>
        <item x="280"/>
        <item x="388"/>
        <item x="565"/>
        <item x="411"/>
        <item x="476"/>
        <item x="474"/>
        <item x="263"/>
        <item x="401"/>
        <item x="57"/>
        <item x="141"/>
        <item x="421"/>
        <item x="11"/>
        <item x="562"/>
        <item x="448"/>
        <item x="532"/>
        <item x="360"/>
        <item x="647"/>
        <item x="368"/>
        <item x="118"/>
        <item x="19"/>
        <item x="645"/>
        <item x="633"/>
        <item x="384"/>
        <item x="202"/>
        <item x="471"/>
        <item x="552"/>
        <item x="400"/>
        <item x="262"/>
        <item x="354"/>
        <item x="302"/>
        <item x="419"/>
        <item x="683"/>
        <item x="623"/>
        <item x="521"/>
        <item x="396"/>
        <item x="554"/>
        <item x="573"/>
        <item x="253"/>
        <item x="295"/>
        <item x="237"/>
        <item x="522"/>
        <item x="193"/>
        <item x="627"/>
        <item x="256"/>
        <item x="458"/>
        <item x="207"/>
        <item x="499"/>
        <item x="339"/>
        <item x="324"/>
        <item x="491"/>
        <item x="209"/>
        <item x="574"/>
        <item x="607"/>
        <item x="244"/>
        <item x="190"/>
        <item x="558"/>
        <item x="59"/>
        <item x="398"/>
        <item x="393"/>
        <item x="301"/>
        <item x="367"/>
        <item x="32"/>
        <item x="363"/>
        <item x="334"/>
        <item x="475"/>
        <item x="453"/>
        <item x="220"/>
        <item x="232"/>
        <item x="49"/>
        <item x="526"/>
        <item x="493"/>
        <item x="382"/>
        <item x="322"/>
        <item x="664"/>
        <item x="658"/>
        <item x="663"/>
        <item x="231"/>
        <item x="699"/>
        <item x="439"/>
        <item x="34"/>
        <item x="239"/>
        <item x="661"/>
        <item x="541"/>
        <item x="611"/>
        <item x="165"/>
        <item x="281"/>
        <item x="66"/>
        <item x="44"/>
        <item x="292"/>
        <item x="332"/>
        <item x="344"/>
        <item x="426"/>
        <item x="167"/>
        <item x="261"/>
        <item x="551"/>
        <item x="284"/>
        <item x="350"/>
        <item x="665"/>
        <item x="428"/>
        <item x="656"/>
        <item x="171"/>
        <item x="127"/>
        <item x="109"/>
        <item x="144"/>
        <item x="46"/>
        <item x="48"/>
        <item x="598"/>
        <item x="531"/>
        <item x="5"/>
        <item x="174"/>
        <item x="406"/>
        <item x="92"/>
        <item x="83"/>
        <item x="96"/>
        <item x="30"/>
        <item x="184"/>
        <item x="624"/>
        <item x="347"/>
        <item x="560"/>
        <item x="563"/>
        <item x="579"/>
        <item x="686"/>
        <item x="427"/>
        <item x="89"/>
        <item x="492"/>
        <item x="489"/>
        <item x="606"/>
        <item x="482"/>
        <item x="424"/>
        <item x="40"/>
        <item x="323"/>
        <item x="326"/>
        <item x="50"/>
        <item x="116"/>
        <item x="168"/>
        <item x="433"/>
        <item x="181"/>
        <item x="553"/>
        <item x="534"/>
        <item x="186"/>
        <item x="557"/>
        <item x="646"/>
        <item x="389"/>
        <item x="138"/>
        <item x="608"/>
        <item x="328"/>
        <item x="678"/>
        <item x="264"/>
        <item x="352"/>
        <item x="152"/>
        <item x="330"/>
        <item x="26"/>
        <item x="267"/>
        <item x="175"/>
        <item x="296"/>
        <item x="95"/>
        <item x="288"/>
        <item x="679"/>
        <item x="342"/>
        <item x="660"/>
        <item x="290"/>
        <item x="577"/>
        <item x="514"/>
        <item x="271"/>
        <item x="632"/>
        <item x="219"/>
        <item x="36"/>
        <item x="69"/>
        <item x="569"/>
        <item x="490"/>
        <item x="374"/>
        <item x="657"/>
        <item x="380"/>
        <item x="265"/>
        <item x="450"/>
        <item x="413"/>
        <item x="270"/>
        <item x="568"/>
        <item x="530"/>
        <item x="155"/>
        <item x="437"/>
        <item x="356"/>
        <item x="460"/>
        <item x="652"/>
        <item x="39"/>
        <item x="575"/>
        <item x="299"/>
        <item x="294"/>
        <item x="67"/>
        <item x="72"/>
        <item x="505"/>
        <item x="655"/>
        <item x="82"/>
        <item x="430"/>
        <item x="395"/>
        <item x="528"/>
        <item x="662"/>
        <item x="414"/>
        <item x="268"/>
        <item x="590"/>
        <item x="94"/>
        <item x="349"/>
        <item x="564"/>
        <item x="191"/>
        <item x="139"/>
        <item x="501"/>
        <item x="673"/>
        <item x="81"/>
        <item x="472"/>
        <item x="567"/>
        <item x="42"/>
        <item x="483"/>
        <item x="649"/>
        <item x="293"/>
        <item x="488"/>
        <item x="546"/>
        <item x="651"/>
        <item x="685"/>
        <item x="170"/>
        <item x="432"/>
        <item x="102"/>
        <item x="300"/>
        <item x="604"/>
        <item x="203"/>
        <item x="117"/>
        <item x="169"/>
        <item x="134"/>
        <item x="561"/>
        <item x="659"/>
        <item x="692"/>
        <item x="484"/>
        <item x="405"/>
        <item x="212"/>
        <item x="143"/>
        <item x="38"/>
        <item x="208"/>
        <item x="599"/>
        <item x="392"/>
        <item x="210"/>
        <item x="136"/>
        <item x="529"/>
        <item x="43"/>
        <item x="481"/>
        <item x="192"/>
        <item x="436"/>
        <item x="303"/>
        <item x="695"/>
        <item x="206"/>
        <item x="486"/>
        <item x="653"/>
        <item x="298"/>
        <item x="397"/>
        <item x="125"/>
        <item x="124"/>
        <item x="429"/>
        <item x="351"/>
        <item x="423"/>
        <item x="166"/>
        <item x="479"/>
        <item x="487"/>
        <item x="47"/>
        <item x="45"/>
        <item x="353"/>
        <item x="133"/>
        <item x="140"/>
        <item t="default"/>
      </items>
    </pivotField>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2">
    <chartFormat chart="4" format="13"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CEFFBB-3141-410B-A834-FA2F95E0514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G10" firstHeaderRow="1" firstDataRow="3"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2">
    <field x="15"/>
    <field x="-2"/>
  </colFields>
  <colItems count="6">
    <i>
      <x/>
      <x/>
    </i>
    <i r="1" i="1">
      <x v="1"/>
    </i>
    <i>
      <x v="1"/>
      <x/>
    </i>
    <i r="1" i="1">
      <x v="1"/>
    </i>
    <i t="grand">
      <x/>
    </i>
    <i t="grand" i="1">
      <x/>
    </i>
  </colItems>
  <dataFields count="2">
    <dataField name="Sum of  Sales" fld="9" baseField="0" baseItem="0" numFmtId="164"/>
    <dataField name="Sum of Profit" fld="11" baseField="0" baseItem="0" numFmtId="164"/>
  </dataFields>
  <chartFormats count="4">
    <chartFormat chart="3" format="11" series="1">
      <pivotArea type="data" outline="0" fieldPosition="0">
        <references count="2">
          <reference field="4294967294" count="1" selected="0">
            <x v="0"/>
          </reference>
          <reference field="15" count="1" selected="0">
            <x v="0"/>
          </reference>
        </references>
      </pivotArea>
    </chartFormat>
    <chartFormat chart="3" format="12" series="1">
      <pivotArea type="data" outline="0" fieldPosition="0">
        <references count="2">
          <reference field="4294967294" count="1" selected="0">
            <x v="1"/>
          </reference>
          <reference field="15" count="1" selected="0">
            <x v="0"/>
          </reference>
        </references>
      </pivotArea>
    </chartFormat>
    <chartFormat chart="3" format="13" series="1">
      <pivotArea type="data" outline="0" fieldPosition="0">
        <references count="2">
          <reference field="4294967294" count="1" selected="0">
            <x v="0"/>
          </reference>
          <reference field="15" count="1" selected="0">
            <x v="1"/>
          </reference>
        </references>
      </pivotArea>
    </chartFormat>
    <chartFormat chart="3" format="14" series="1">
      <pivotArea type="data" outline="0" fieldPosition="0">
        <references count="2">
          <reference field="4294967294" count="1" selected="0">
            <x v="1"/>
          </reference>
          <reference field="15"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02E166-71A4-4F6D-BC08-191E50DCE45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3:C46"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Row"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5"/>
  </rowFields>
  <rowItems count="3">
    <i>
      <x/>
    </i>
    <i>
      <x v="1"/>
    </i>
    <i t="grand">
      <x/>
    </i>
  </rowItems>
  <colFields count="1">
    <field x="-2"/>
  </colFields>
  <colItems count="2">
    <i>
      <x/>
    </i>
    <i i="1">
      <x v="1"/>
    </i>
  </colItems>
  <dataFields count="2">
    <dataField name="Sum of Profit" fld="11" baseField="0" baseItem="0" numFmtId="164"/>
    <dataField name="Sum of  Sales" fld="9"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C1DF88-F020-4C93-80D1-286DDD428887}" sourceName="Segment">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01664133">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0AD33F1-35DA-4381-98D1-161C8F98B0FF}" sourceName="Country">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01664133">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A0EBA3-C116-413A-AA4B-6302DF63B5D7}" sourceName="Product">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01664133">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FB432721-5EF0-49A2-9712-ED8F3511BEE3}" sourceName="Discount Band">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0166413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A99C12A-B8C0-4B96-99E7-55A33F4564A4}" cache="Slicer_Segment" caption="Segment" rowHeight="234950"/>
  <slicer name="Country" xr10:uid="{E5880C27-EFBF-49C8-A87D-57ADD559930D}" cache="Slicer_Country" caption="Country" rowHeight="234950"/>
  <slicer name="Product" xr10:uid="{51F4B026-1D99-429F-9754-74826DEBC103}" cache="Slicer_Product" caption="Product" rowHeight="234950"/>
  <slicer name="Discount Band" xr10:uid="{A4D50283-7450-4961-A13C-C3016583273B}" cache="Slicer_Discount_Band" caption="Discount Band" columnCoun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91BD265-D15F-46B3-96A8-4CCA456473F0}" sourceName="Date">
  <pivotTables>
    <pivotTable tabId="2" name="PivotTable4"/>
    <pivotTable tabId="2" name="PivotTable1"/>
    <pivotTable tabId="2" name="PivotTable2"/>
    <pivotTable tabId="2" name="PivotTable3"/>
    <pivotTable tabId="2" name="PivotTable5"/>
    <pivotTable tabId="2" name="PivotTable6"/>
    <pivotTable tabId="2" name="PivotTable7"/>
  </pivotTables>
  <state minimalRefreshVersion="6" lastRefreshVersion="6" pivotCacheId="101664133"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15E9FB8-32DE-4D33-8D29-D8876552C0BB}" cache="NativeTimeline_Date" caption="Date" level="2" selectionLevel="2" scrollPosition="2014-02-25T00:00:00"/>
</timeline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zoomScaleNormal="100" workbookViewId="0">
      <pane ySplit="1" topLeftCell="A59" activePane="bottomLeft" state="frozen"/>
      <selection activeCell="G1" sqref="G1"/>
      <selection pane="bottomLeft" activeCell="I12" sqref="I12"/>
    </sheetView>
  </sheetViews>
  <sheetFormatPr defaultColWidth="14.44140625" defaultRowHeight="15" customHeight="1" x14ac:dyDescent="0.3"/>
  <cols>
    <col min="1" max="1" width="16.33203125" style="6" customWidth="1"/>
    <col min="2" max="2" width="26.5546875" style="6" customWidth="1"/>
    <col min="3" max="3" width="14.109375" style="6" customWidth="1"/>
    <col min="4" max="4" width="17.44140625" style="6" customWidth="1"/>
    <col min="5" max="6" width="14.33203125" style="6" customWidth="1"/>
    <col min="7" max="7" width="12.5546875" style="6" customWidth="1"/>
    <col min="8" max="8" width="18.88671875" style="6" bestFit="1" customWidth="1"/>
    <col min="9" max="9" width="17.44140625" style="6" bestFit="1" customWidth="1"/>
    <col min="10" max="10" width="17.6640625" style="6" customWidth="1"/>
    <col min="11" max="11" width="13.77734375" style="6" bestFit="1" customWidth="1"/>
    <col min="12" max="12" width="18.44140625" style="6" customWidth="1"/>
    <col min="13" max="13" width="11.5546875" style="6" customWidth="1"/>
    <col min="14" max="14" width="17.109375" style="6" customWidth="1"/>
    <col min="15" max="15" width="16.5546875" style="6" customWidth="1"/>
    <col min="16" max="16" width="6.88671875" style="6" bestFit="1" customWidth="1"/>
    <col min="17" max="17" width="8.6640625" style="6" customWidth="1"/>
    <col min="18" max="18" width="16.77734375" style="6" bestFit="1" customWidth="1"/>
    <col min="19" max="26" width="8.6640625" style="6" customWidth="1"/>
    <col min="27" max="16384" width="14.44140625" style="6"/>
  </cols>
  <sheetData>
    <row r="1" spans="1:18" ht="14.4" x14ac:dyDescent="0.3">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row>
    <row r="2" spans="1:18" ht="14.4" x14ac:dyDescent="0.3">
      <c r="A2" s="7" t="s">
        <v>16</v>
      </c>
      <c r="B2" s="7" t="s">
        <v>17</v>
      </c>
      <c r="C2" s="8" t="s">
        <v>18</v>
      </c>
      <c r="D2" s="8" t="s">
        <v>19</v>
      </c>
      <c r="E2" s="7">
        <v>1618.5</v>
      </c>
      <c r="F2" s="8">
        <v>3</v>
      </c>
      <c r="G2" s="8">
        <v>20</v>
      </c>
      <c r="H2" s="8">
        <f>E2*(F2+G2)</f>
        <v>37225.5</v>
      </c>
      <c r="I2" s="8">
        <v>0</v>
      </c>
      <c r="J2" s="8">
        <f>H2-I2</f>
        <v>37225.5</v>
      </c>
      <c r="K2" s="8">
        <v>16185</v>
      </c>
      <c r="L2" s="8">
        <f>J2-K2</f>
        <v>21040.5</v>
      </c>
      <c r="M2" s="9">
        <v>41640</v>
      </c>
      <c r="N2" s="10">
        <f>MONTH(M2)</f>
        <v>1</v>
      </c>
      <c r="O2" s="8" t="str">
        <f t="shared" ref="O2:O66" si="0">TEXT(M2,"MMMM")</f>
        <v>January</v>
      </c>
      <c r="P2" s="7">
        <f>YEAR(M2)</f>
        <v>2014</v>
      </c>
    </row>
    <row r="3" spans="1:18" ht="14.4" x14ac:dyDescent="0.3">
      <c r="A3" s="11" t="s">
        <v>16</v>
      </c>
      <c r="B3" s="11" t="s">
        <v>20</v>
      </c>
      <c r="C3" s="12" t="s">
        <v>18</v>
      </c>
      <c r="D3" s="12" t="s">
        <v>19</v>
      </c>
      <c r="E3" s="11">
        <v>1321</v>
      </c>
      <c r="F3" s="12">
        <v>3</v>
      </c>
      <c r="G3" s="12">
        <v>20</v>
      </c>
      <c r="H3" s="8">
        <f t="shared" ref="H3:H66" si="1">E3*(F3+G3)</f>
        <v>30383</v>
      </c>
      <c r="I3" s="12">
        <v>0</v>
      </c>
      <c r="J3" s="8">
        <f t="shared" ref="J3:J66" si="2">H3-I3</f>
        <v>30383</v>
      </c>
      <c r="K3" s="12">
        <v>13210</v>
      </c>
      <c r="L3" s="8">
        <f t="shared" ref="L3:L66" si="3">J3-K3</f>
        <v>17173</v>
      </c>
      <c r="M3" s="13">
        <v>41640</v>
      </c>
      <c r="N3" s="10">
        <f t="shared" ref="N3:N66" si="4">MONTH(M3)</f>
        <v>1</v>
      </c>
      <c r="O3" s="8" t="str">
        <f t="shared" si="0"/>
        <v>January</v>
      </c>
      <c r="P3" s="7">
        <f t="shared" ref="P3:P66" si="5">YEAR(M3)</f>
        <v>2014</v>
      </c>
    </row>
    <row r="4" spans="1:18" ht="14.4" x14ac:dyDescent="0.3">
      <c r="A4" s="7" t="s">
        <v>21</v>
      </c>
      <c r="B4" s="7" t="s">
        <v>22</v>
      </c>
      <c r="C4" s="8" t="s">
        <v>18</v>
      </c>
      <c r="D4" s="8" t="s">
        <v>19</v>
      </c>
      <c r="E4" s="7">
        <v>2178</v>
      </c>
      <c r="F4" s="8">
        <v>3</v>
      </c>
      <c r="G4" s="8">
        <v>15</v>
      </c>
      <c r="H4" s="8">
        <f t="shared" si="1"/>
        <v>39204</v>
      </c>
      <c r="I4" s="8">
        <v>0</v>
      </c>
      <c r="J4" s="8">
        <f t="shared" si="2"/>
        <v>39204</v>
      </c>
      <c r="K4" s="8">
        <v>21780</v>
      </c>
      <c r="L4" s="8">
        <f t="shared" si="3"/>
        <v>17424</v>
      </c>
      <c r="M4" s="9">
        <v>41791</v>
      </c>
      <c r="N4" s="10">
        <f t="shared" si="4"/>
        <v>6</v>
      </c>
      <c r="O4" s="8" t="str">
        <f t="shared" si="0"/>
        <v>June</v>
      </c>
      <c r="P4" s="7">
        <f t="shared" si="5"/>
        <v>2014</v>
      </c>
    </row>
    <row r="5" spans="1:18" ht="14.4" x14ac:dyDescent="0.3">
      <c r="A5" s="11" t="s">
        <v>21</v>
      </c>
      <c r="B5" s="11" t="s">
        <v>20</v>
      </c>
      <c r="C5" s="12" t="s">
        <v>18</v>
      </c>
      <c r="D5" s="12" t="s">
        <v>19</v>
      </c>
      <c r="E5" s="11">
        <v>888</v>
      </c>
      <c r="F5" s="12">
        <v>3</v>
      </c>
      <c r="G5" s="12">
        <v>15</v>
      </c>
      <c r="H5" s="8">
        <f t="shared" si="1"/>
        <v>15984</v>
      </c>
      <c r="I5" s="12">
        <v>0</v>
      </c>
      <c r="J5" s="8">
        <f t="shared" si="2"/>
        <v>15984</v>
      </c>
      <c r="K5" s="12">
        <v>8880</v>
      </c>
      <c r="L5" s="8">
        <f t="shared" si="3"/>
        <v>7104</v>
      </c>
      <c r="M5" s="13">
        <v>41791</v>
      </c>
      <c r="N5" s="10">
        <f t="shared" si="4"/>
        <v>6</v>
      </c>
      <c r="O5" s="8" t="str">
        <f t="shared" si="0"/>
        <v>June</v>
      </c>
      <c r="P5" s="7">
        <f t="shared" si="5"/>
        <v>2014</v>
      </c>
    </row>
    <row r="6" spans="1:18" ht="14.4" x14ac:dyDescent="0.3">
      <c r="A6" s="7" t="s">
        <v>21</v>
      </c>
      <c r="B6" s="7" t="s">
        <v>23</v>
      </c>
      <c r="C6" s="8" t="s">
        <v>18</v>
      </c>
      <c r="D6" s="8" t="s">
        <v>19</v>
      </c>
      <c r="E6" s="7">
        <v>2470</v>
      </c>
      <c r="F6" s="8">
        <v>3</v>
      </c>
      <c r="G6" s="8">
        <v>15</v>
      </c>
      <c r="H6" s="8">
        <f t="shared" si="1"/>
        <v>44460</v>
      </c>
      <c r="I6" s="8">
        <v>0</v>
      </c>
      <c r="J6" s="8">
        <f t="shared" si="2"/>
        <v>44460</v>
      </c>
      <c r="K6" s="8">
        <v>24700</v>
      </c>
      <c r="L6" s="8">
        <f t="shared" si="3"/>
        <v>19760</v>
      </c>
      <c r="M6" s="9">
        <v>41791</v>
      </c>
      <c r="N6" s="10">
        <f t="shared" si="4"/>
        <v>6</v>
      </c>
      <c r="O6" s="8" t="str">
        <f t="shared" si="0"/>
        <v>June</v>
      </c>
      <c r="P6" s="7">
        <f t="shared" si="5"/>
        <v>2014</v>
      </c>
    </row>
    <row r="7" spans="1:18" ht="14.4" x14ac:dyDescent="0.3">
      <c r="A7" s="11" t="s">
        <v>16</v>
      </c>
      <c r="B7" s="11" t="s">
        <v>20</v>
      </c>
      <c r="C7" s="12" t="s">
        <v>18</v>
      </c>
      <c r="D7" s="12" t="s">
        <v>19</v>
      </c>
      <c r="E7" s="11">
        <v>1513</v>
      </c>
      <c r="F7" s="12">
        <v>3</v>
      </c>
      <c r="G7" s="12">
        <v>350</v>
      </c>
      <c r="H7" s="8">
        <f t="shared" si="1"/>
        <v>534089</v>
      </c>
      <c r="I7" s="12">
        <v>0</v>
      </c>
      <c r="J7" s="8">
        <f t="shared" si="2"/>
        <v>534089</v>
      </c>
      <c r="K7" s="12">
        <v>393380</v>
      </c>
      <c r="L7" s="8">
        <f t="shared" si="3"/>
        <v>140709</v>
      </c>
      <c r="M7" s="13">
        <v>41974</v>
      </c>
      <c r="N7" s="10">
        <f t="shared" si="4"/>
        <v>12</v>
      </c>
      <c r="O7" s="8" t="str">
        <f t="shared" si="0"/>
        <v>December</v>
      </c>
      <c r="P7" s="7">
        <f t="shared" si="5"/>
        <v>2014</v>
      </c>
    </row>
    <row r="8" spans="1:18" ht="14.4" x14ac:dyDescent="0.3">
      <c r="A8" s="7" t="s">
        <v>21</v>
      </c>
      <c r="B8" s="7" t="s">
        <v>20</v>
      </c>
      <c r="C8" s="8" t="s">
        <v>24</v>
      </c>
      <c r="D8" s="8" t="s">
        <v>19</v>
      </c>
      <c r="E8" s="7">
        <v>921</v>
      </c>
      <c r="F8" s="8">
        <v>5</v>
      </c>
      <c r="G8" s="8">
        <v>15</v>
      </c>
      <c r="H8" s="8">
        <f t="shared" si="1"/>
        <v>18420</v>
      </c>
      <c r="I8" s="8">
        <v>0</v>
      </c>
      <c r="J8" s="8">
        <f t="shared" si="2"/>
        <v>18420</v>
      </c>
      <c r="K8" s="8">
        <v>9210</v>
      </c>
      <c r="L8" s="8">
        <f t="shared" si="3"/>
        <v>9210</v>
      </c>
      <c r="M8" s="9">
        <v>41699</v>
      </c>
      <c r="N8" s="10">
        <f t="shared" si="4"/>
        <v>3</v>
      </c>
      <c r="O8" s="8" t="str">
        <f t="shared" si="0"/>
        <v>March</v>
      </c>
      <c r="P8" s="7">
        <f t="shared" si="5"/>
        <v>2014</v>
      </c>
    </row>
    <row r="9" spans="1:18" ht="14.4" x14ac:dyDescent="0.3">
      <c r="A9" s="11" t="s">
        <v>25</v>
      </c>
      <c r="B9" s="11" t="s">
        <v>17</v>
      </c>
      <c r="C9" s="12" t="s">
        <v>24</v>
      </c>
      <c r="D9" s="12" t="s">
        <v>19</v>
      </c>
      <c r="E9" s="11">
        <v>2518</v>
      </c>
      <c r="F9" s="12">
        <v>5</v>
      </c>
      <c r="G9" s="12">
        <v>12</v>
      </c>
      <c r="H9" s="8">
        <f t="shared" si="1"/>
        <v>42806</v>
      </c>
      <c r="I9" s="12">
        <v>0</v>
      </c>
      <c r="J9" s="8">
        <f t="shared" si="2"/>
        <v>42806</v>
      </c>
      <c r="K9" s="12">
        <v>7554</v>
      </c>
      <c r="L9" s="8">
        <f t="shared" si="3"/>
        <v>35252</v>
      </c>
      <c r="M9" s="13">
        <v>41791</v>
      </c>
      <c r="N9" s="10">
        <f t="shared" si="4"/>
        <v>6</v>
      </c>
      <c r="O9" s="8" t="str">
        <f t="shared" si="0"/>
        <v>June</v>
      </c>
      <c r="P9" s="7">
        <f t="shared" si="5"/>
        <v>2014</v>
      </c>
      <c r="R9" s="22"/>
    </row>
    <row r="10" spans="1:18" ht="14.4" x14ac:dyDescent="0.3">
      <c r="A10" s="7" t="s">
        <v>16</v>
      </c>
      <c r="B10" s="7" t="s">
        <v>22</v>
      </c>
      <c r="C10" s="8" t="s">
        <v>24</v>
      </c>
      <c r="D10" s="8" t="s">
        <v>19</v>
      </c>
      <c r="E10" s="7">
        <v>1899</v>
      </c>
      <c r="F10" s="8">
        <v>5</v>
      </c>
      <c r="G10" s="8">
        <v>20</v>
      </c>
      <c r="H10" s="8">
        <f t="shared" si="1"/>
        <v>47475</v>
      </c>
      <c r="I10" s="8">
        <v>0</v>
      </c>
      <c r="J10" s="8">
        <f t="shared" si="2"/>
        <v>47475</v>
      </c>
      <c r="K10" s="8">
        <v>18990</v>
      </c>
      <c r="L10" s="8">
        <f t="shared" si="3"/>
        <v>28485</v>
      </c>
      <c r="M10" s="9">
        <v>41791</v>
      </c>
      <c r="N10" s="10">
        <f t="shared" si="4"/>
        <v>6</v>
      </c>
      <c r="O10" s="8" t="str">
        <f t="shared" si="0"/>
        <v>June</v>
      </c>
      <c r="P10" s="7">
        <f t="shared" si="5"/>
        <v>2014</v>
      </c>
    </row>
    <row r="11" spans="1:18" ht="14.4" x14ac:dyDescent="0.3">
      <c r="A11" s="11" t="s">
        <v>25</v>
      </c>
      <c r="B11" s="11" t="s">
        <v>20</v>
      </c>
      <c r="C11" s="12" t="s">
        <v>24</v>
      </c>
      <c r="D11" s="12" t="s">
        <v>19</v>
      </c>
      <c r="E11" s="11">
        <v>1545</v>
      </c>
      <c r="F11" s="12">
        <v>5</v>
      </c>
      <c r="G11" s="12">
        <v>12</v>
      </c>
      <c r="H11" s="8">
        <f t="shared" si="1"/>
        <v>26265</v>
      </c>
      <c r="I11" s="12">
        <v>0</v>
      </c>
      <c r="J11" s="8">
        <f t="shared" si="2"/>
        <v>26265</v>
      </c>
      <c r="K11" s="12">
        <v>4635</v>
      </c>
      <c r="L11" s="8">
        <f t="shared" si="3"/>
        <v>21630</v>
      </c>
      <c r="M11" s="13">
        <v>41791</v>
      </c>
      <c r="N11" s="10">
        <f t="shared" si="4"/>
        <v>6</v>
      </c>
      <c r="O11" s="8" t="str">
        <f t="shared" si="0"/>
        <v>June</v>
      </c>
      <c r="P11" s="7">
        <f t="shared" si="5"/>
        <v>2014</v>
      </c>
    </row>
    <row r="12" spans="1:18" ht="14.4" x14ac:dyDescent="0.3">
      <c r="A12" s="7" t="s">
        <v>21</v>
      </c>
      <c r="B12" s="7" t="s">
        <v>23</v>
      </c>
      <c r="C12" s="8" t="s">
        <v>24</v>
      </c>
      <c r="D12" s="8" t="s">
        <v>19</v>
      </c>
      <c r="E12" s="7">
        <v>2470</v>
      </c>
      <c r="F12" s="8">
        <v>5</v>
      </c>
      <c r="G12" s="8">
        <v>15</v>
      </c>
      <c r="H12" s="8">
        <f t="shared" si="1"/>
        <v>49400</v>
      </c>
      <c r="I12" s="8">
        <v>0</v>
      </c>
      <c r="J12" s="8">
        <f t="shared" si="2"/>
        <v>49400</v>
      </c>
      <c r="K12" s="8">
        <v>24700</v>
      </c>
      <c r="L12" s="8">
        <f t="shared" si="3"/>
        <v>24700</v>
      </c>
      <c r="M12" s="9">
        <v>41791</v>
      </c>
      <c r="N12" s="10">
        <f t="shared" si="4"/>
        <v>6</v>
      </c>
      <c r="O12" s="8" t="str">
        <f t="shared" si="0"/>
        <v>June</v>
      </c>
      <c r="P12" s="7">
        <f t="shared" si="5"/>
        <v>2014</v>
      </c>
    </row>
    <row r="13" spans="1:18" ht="14.4" x14ac:dyDescent="0.3">
      <c r="A13" s="11" t="s">
        <v>26</v>
      </c>
      <c r="B13" s="11" t="s">
        <v>17</v>
      </c>
      <c r="C13" s="12" t="s">
        <v>24</v>
      </c>
      <c r="D13" s="12" t="s">
        <v>19</v>
      </c>
      <c r="E13" s="11">
        <v>2665.5</v>
      </c>
      <c r="F13" s="12">
        <v>5</v>
      </c>
      <c r="G13" s="12">
        <v>125</v>
      </c>
      <c r="H13" s="8">
        <f t="shared" si="1"/>
        <v>346515</v>
      </c>
      <c r="I13" s="12">
        <v>0</v>
      </c>
      <c r="J13" s="8">
        <f t="shared" si="2"/>
        <v>346515</v>
      </c>
      <c r="K13" s="12">
        <v>319860</v>
      </c>
      <c r="L13" s="8">
        <f t="shared" si="3"/>
        <v>26655</v>
      </c>
      <c r="M13" s="13">
        <v>41821</v>
      </c>
      <c r="N13" s="10">
        <f t="shared" si="4"/>
        <v>7</v>
      </c>
      <c r="O13" s="8" t="str">
        <f t="shared" si="0"/>
        <v>July</v>
      </c>
      <c r="P13" s="7">
        <f t="shared" si="5"/>
        <v>2014</v>
      </c>
    </row>
    <row r="14" spans="1:18" ht="14.4" x14ac:dyDescent="0.3">
      <c r="A14" s="7" t="s">
        <v>27</v>
      </c>
      <c r="B14" s="7" t="s">
        <v>23</v>
      </c>
      <c r="C14" s="8" t="s">
        <v>24</v>
      </c>
      <c r="D14" s="8" t="s">
        <v>19</v>
      </c>
      <c r="E14" s="7">
        <v>958</v>
      </c>
      <c r="F14" s="8">
        <v>5</v>
      </c>
      <c r="G14" s="8">
        <v>300</v>
      </c>
      <c r="H14" s="8">
        <f t="shared" si="1"/>
        <v>292190</v>
      </c>
      <c r="I14" s="8">
        <v>0</v>
      </c>
      <c r="J14" s="8">
        <f t="shared" si="2"/>
        <v>292190</v>
      </c>
      <c r="K14" s="8">
        <v>239500</v>
      </c>
      <c r="L14" s="8">
        <f t="shared" si="3"/>
        <v>52690</v>
      </c>
      <c r="M14" s="9">
        <v>41852</v>
      </c>
      <c r="N14" s="10">
        <f t="shared" si="4"/>
        <v>8</v>
      </c>
      <c r="O14" s="8" t="str">
        <f t="shared" si="0"/>
        <v>August</v>
      </c>
      <c r="P14" s="7">
        <f t="shared" si="5"/>
        <v>2014</v>
      </c>
    </row>
    <row r="15" spans="1:18" ht="14.4" x14ac:dyDescent="0.3">
      <c r="A15" s="11" t="s">
        <v>16</v>
      </c>
      <c r="B15" s="11" t="s">
        <v>20</v>
      </c>
      <c r="C15" s="12" t="s">
        <v>24</v>
      </c>
      <c r="D15" s="12" t="s">
        <v>19</v>
      </c>
      <c r="E15" s="11">
        <v>2146</v>
      </c>
      <c r="F15" s="12">
        <v>5</v>
      </c>
      <c r="G15" s="12">
        <v>7</v>
      </c>
      <c r="H15" s="8">
        <f t="shared" si="1"/>
        <v>25752</v>
      </c>
      <c r="I15" s="12">
        <v>0</v>
      </c>
      <c r="J15" s="8">
        <f t="shared" si="2"/>
        <v>25752</v>
      </c>
      <c r="K15" s="12">
        <v>10730</v>
      </c>
      <c r="L15" s="8">
        <f t="shared" si="3"/>
        <v>15022</v>
      </c>
      <c r="M15" s="13">
        <v>41883</v>
      </c>
      <c r="N15" s="10">
        <f t="shared" si="4"/>
        <v>9</v>
      </c>
      <c r="O15" s="8" t="str">
        <f t="shared" si="0"/>
        <v>September</v>
      </c>
      <c r="P15" s="7">
        <f t="shared" si="5"/>
        <v>2014</v>
      </c>
    </row>
    <row r="16" spans="1:18" ht="14.4" x14ac:dyDescent="0.3">
      <c r="A16" s="7" t="s">
        <v>26</v>
      </c>
      <c r="B16" s="7" t="s">
        <v>17</v>
      </c>
      <c r="C16" s="8" t="s">
        <v>24</v>
      </c>
      <c r="D16" s="8" t="s">
        <v>19</v>
      </c>
      <c r="E16" s="7">
        <v>345</v>
      </c>
      <c r="F16" s="8">
        <v>5</v>
      </c>
      <c r="G16" s="8">
        <v>125</v>
      </c>
      <c r="H16" s="8">
        <f t="shared" si="1"/>
        <v>44850</v>
      </c>
      <c r="I16" s="8">
        <v>0</v>
      </c>
      <c r="J16" s="8">
        <f t="shared" si="2"/>
        <v>44850</v>
      </c>
      <c r="K16" s="8">
        <v>41400</v>
      </c>
      <c r="L16" s="8">
        <f t="shared" si="3"/>
        <v>3450</v>
      </c>
      <c r="M16" s="9">
        <v>41548</v>
      </c>
      <c r="N16" s="10">
        <f t="shared" si="4"/>
        <v>10</v>
      </c>
      <c r="O16" s="8" t="str">
        <f t="shared" si="0"/>
        <v>October</v>
      </c>
      <c r="P16" s="7">
        <f t="shared" si="5"/>
        <v>2013</v>
      </c>
    </row>
    <row r="17" spans="1:16" ht="14.4" x14ac:dyDescent="0.3">
      <c r="A17" s="11" t="s">
        <v>21</v>
      </c>
      <c r="B17" s="11" t="s">
        <v>28</v>
      </c>
      <c r="C17" s="12" t="s">
        <v>24</v>
      </c>
      <c r="D17" s="12" t="s">
        <v>19</v>
      </c>
      <c r="E17" s="11">
        <v>615</v>
      </c>
      <c r="F17" s="12">
        <v>5</v>
      </c>
      <c r="G17" s="12">
        <v>15</v>
      </c>
      <c r="H17" s="8">
        <f t="shared" si="1"/>
        <v>12300</v>
      </c>
      <c r="I17" s="12">
        <v>0</v>
      </c>
      <c r="J17" s="8">
        <f t="shared" si="2"/>
        <v>12300</v>
      </c>
      <c r="K17" s="12">
        <v>6150</v>
      </c>
      <c r="L17" s="8">
        <f t="shared" si="3"/>
        <v>6150</v>
      </c>
      <c r="M17" s="13">
        <v>41974</v>
      </c>
      <c r="N17" s="10">
        <f t="shared" si="4"/>
        <v>12</v>
      </c>
      <c r="O17" s="8" t="str">
        <f t="shared" si="0"/>
        <v>December</v>
      </c>
      <c r="P17" s="7">
        <f t="shared" si="5"/>
        <v>2014</v>
      </c>
    </row>
    <row r="18" spans="1:16" ht="14.4" x14ac:dyDescent="0.3">
      <c r="A18" s="7" t="s">
        <v>16</v>
      </c>
      <c r="B18" s="7" t="s">
        <v>17</v>
      </c>
      <c r="C18" s="8" t="s">
        <v>29</v>
      </c>
      <c r="D18" s="8" t="s">
        <v>19</v>
      </c>
      <c r="E18" s="7">
        <v>292</v>
      </c>
      <c r="F18" s="8">
        <v>10</v>
      </c>
      <c r="G18" s="8">
        <v>20</v>
      </c>
      <c r="H18" s="8">
        <f t="shared" si="1"/>
        <v>8760</v>
      </c>
      <c r="I18" s="8">
        <v>0</v>
      </c>
      <c r="J18" s="8">
        <f t="shared" si="2"/>
        <v>8760</v>
      </c>
      <c r="K18" s="8">
        <v>2920</v>
      </c>
      <c r="L18" s="8">
        <f t="shared" si="3"/>
        <v>5840</v>
      </c>
      <c r="M18" s="9">
        <v>41671</v>
      </c>
      <c r="N18" s="10">
        <f t="shared" si="4"/>
        <v>2</v>
      </c>
      <c r="O18" s="8" t="str">
        <f t="shared" si="0"/>
        <v>February</v>
      </c>
      <c r="P18" s="7">
        <f t="shared" si="5"/>
        <v>2014</v>
      </c>
    </row>
    <row r="19" spans="1:16" ht="14.4" x14ac:dyDescent="0.3">
      <c r="A19" s="11" t="s">
        <v>21</v>
      </c>
      <c r="B19" s="11" t="s">
        <v>23</v>
      </c>
      <c r="C19" s="12" t="s">
        <v>29</v>
      </c>
      <c r="D19" s="12" t="s">
        <v>19</v>
      </c>
      <c r="E19" s="11">
        <v>974</v>
      </c>
      <c r="F19" s="12">
        <v>10</v>
      </c>
      <c r="G19" s="12">
        <v>15</v>
      </c>
      <c r="H19" s="8">
        <f t="shared" si="1"/>
        <v>24350</v>
      </c>
      <c r="I19" s="12">
        <v>0</v>
      </c>
      <c r="J19" s="8">
        <f t="shared" si="2"/>
        <v>24350</v>
      </c>
      <c r="K19" s="12">
        <v>9740</v>
      </c>
      <c r="L19" s="8">
        <f t="shared" si="3"/>
        <v>14610</v>
      </c>
      <c r="M19" s="13">
        <v>41671</v>
      </c>
      <c r="N19" s="10">
        <f t="shared" si="4"/>
        <v>2</v>
      </c>
      <c r="O19" s="8" t="str">
        <f t="shared" si="0"/>
        <v>February</v>
      </c>
      <c r="P19" s="7">
        <f t="shared" si="5"/>
        <v>2014</v>
      </c>
    </row>
    <row r="20" spans="1:16" ht="14.4" x14ac:dyDescent="0.3">
      <c r="A20" s="7" t="s">
        <v>25</v>
      </c>
      <c r="B20" s="7" t="s">
        <v>17</v>
      </c>
      <c r="C20" s="8" t="s">
        <v>29</v>
      </c>
      <c r="D20" s="8" t="s">
        <v>19</v>
      </c>
      <c r="E20" s="7">
        <v>2518</v>
      </c>
      <c r="F20" s="8">
        <v>10</v>
      </c>
      <c r="G20" s="8">
        <v>12</v>
      </c>
      <c r="H20" s="8">
        <f t="shared" si="1"/>
        <v>55396</v>
      </c>
      <c r="I20" s="8">
        <v>0</v>
      </c>
      <c r="J20" s="8">
        <f t="shared" si="2"/>
        <v>55396</v>
      </c>
      <c r="K20" s="8">
        <v>7554</v>
      </c>
      <c r="L20" s="8">
        <f t="shared" si="3"/>
        <v>47842</v>
      </c>
      <c r="M20" s="9">
        <v>41791</v>
      </c>
      <c r="N20" s="10">
        <f t="shared" si="4"/>
        <v>6</v>
      </c>
      <c r="O20" s="8" t="str">
        <f t="shared" si="0"/>
        <v>June</v>
      </c>
      <c r="P20" s="7">
        <f t="shared" si="5"/>
        <v>2014</v>
      </c>
    </row>
    <row r="21" spans="1:16" ht="15.75" customHeight="1" x14ac:dyDescent="0.3">
      <c r="A21" s="11" t="s">
        <v>16</v>
      </c>
      <c r="B21" s="11" t="s">
        <v>20</v>
      </c>
      <c r="C21" s="12" t="s">
        <v>29</v>
      </c>
      <c r="D21" s="12" t="s">
        <v>19</v>
      </c>
      <c r="E21" s="11">
        <v>1006</v>
      </c>
      <c r="F21" s="12">
        <v>10</v>
      </c>
      <c r="G21" s="12">
        <v>350</v>
      </c>
      <c r="H21" s="8">
        <f t="shared" si="1"/>
        <v>362160</v>
      </c>
      <c r="I21" s="12">
        <v>0</v>
      </c>
      <c r="J21" s="8">
        <f t="shared" si="2"/>
        <v>362160</v>
      </c>
      <c r="K21" s="12">
        <v>261560</v>
      </c>
      <c r="L21" s="8">
        <f t="shared" si="3"/>
        <v>100600</v>
      </c>
      <c r="M21" s="13">
        <v>41791</v>
      </c>
      <c r="N21" s="10">
        <f t="shared" si="4"/>
        <v>6</v>
      </c>
      <c r="O21" s="8" t="str">
        <f t="shared" si="0"/>
        <v>June</v>
      </c>
      <c r="P21" s="7">
        <f t="shared" si="5"/>
        <v>2014</v>
      </c>
    </row>
    <row r="22" spans="1:16" ht="15.75" customHeight="1" x14ac:dyDescent="0.3">
      <c r="A22" s="7" t="s">
        <v>25</v>
      </c>
      <c r="B22" s="7" t="s">
        <v>20</v>
      </c>
      <c r="C22" s="8" t="s">
        <v>29</v>
      </c>
      <c r="D22" s="8" t="s">
        <v>19</v>
      </c>
      <c r="E22" s="7">
        <v>367</v>
      </c>
      <c r="F22" s="8">
        <v>10</v>
      </c>
      <c r="G22" s="8">
        <v>12</v>
      </c>
      <c r="H22" s="8">
        <f t="shared" si="1"/>
        <v>8074</v>
      </c>
      <c r="I22" s="8">
        <v>0</v>
      </c>
      <c r="J22" s="8">
        <f t="shared" si="2"/>
        <v>8074</v>
      </c>
      <c r="K22" s="8">
        <v>1101</v>
      </c>
      <c r="L22" s="8">
        <f t="shared" si="3"/>
        <v>6973</v>
      </c>
      <c r="M22" s="9">
        <v>41821</v>
      </c>
      <c r="N22" s="10">
        <f t="shared" si="4"/>
        <v>7</v>
      </c>
      <c r="O22" s="8" t="str">
        <f t="shared" si="0"/>
        <v>July</v>
      </c>
      <c r="P22" s="7">
        <f t="shared" si="5"/>
        <v>2014</v>
      </c>
    </row>
    <row r="23" spans="1:16" ht="15.75" customHeight="1" x14ac:dyDescent="0.3">
      <c r="A23" s="11" t="s">
        <v>16</v>
      </c>
      <c r="B23" s="11" t="s">
        <v>23</v>
      </c>
      <c r="C23" s="12" t="s">
        <v>29</v>
      </c>
      <c r="D23" s="12" t="s">
        <v>19</v>
      </c>
      <c r="E23" s="11">
        <v>883</v>
      </c>
      <c r="F23" s="12">
        <v>10</v>
      </c>
      <c r="G23" s="12">
        <v>7</v>
      </c>
      <c r="H23" s="8">
        <f t="shared" si="1"/>
        <v>15011</v>
      </c>
      <c r="I23" s="12">
        <v>0</v>
      </c>
      <c r="J23" s="8">
        <f t="shared" si="2"/>
        <v>15011</v>
      </c>
      <c r="K23" s="12">
        <v>4415</v>
      </c>
      <c r="L23" s="8">
        <f t="shared" si="3"/>
        <v>10596</v>
      </c>
      <c r="M23" s="13">
        <v>41852</v>
      </c>
      <c r="N23" s="10">
        <f t="shared" si="4"/>
        <v>8</v>
      </c>
      <c r="O23" s="8" t="str">
        <f t="shared" si="0"/>
        <v>August</v>
      </c>
      <c r="P23" s="7">
        <f t="shared" si="5"/>
        <v>2014</v>
      </c>
    </row>
    <row r="24" spans="1:16" ht="15.75" customHeight="1" x14ac:dyDescent="0.3">
      <c r="A24" s="7" t="s">
        <v>21</v>
      </c>
      <c r="B24" s="7" t="s">
        <v>22</v>
      </c>
      <c r="C24" s="8" t="s">
        <v>29</v>
      </c>
      <c r="D24" s="8" t="s">
        <v>19</v>
      </c>
      <c r="E24" s="7">
        <v>549</v>
      </c>
      <c r="F24" s="8">
        <v>10</v>
      </c>
      <c r="G24" s="8">
        <v>15</v>
      </c>
      <c r="H24" s="8">
        <f t="shared" si="1"/>
        <v>13725</v>
      </c>
      <c r="I24" s="8">
        <v>0</v>
      </c>
      <c r="J24" s="8">
        <f t="shared" si="2"/>
        <v>13725</v>
      </c>
      <c r="K24" s="8">
        <v>5490</v>
      </c>
      <c r="L24" s="8">
        <f t="shared" si="3"/>
        <v>8235</v>
      </c>
      <c r="M24" s="9">
        <v>41518</v>
      </c>
      <c r="N24" s="10">
        <f t="shared" si="4"/>
        <v>9</v>
      </c>
      <c r="O24" s="8" t="str">
        <f t="shared" si="0"/>
        <v>September</v>
      </c>
      <c r="P24" s="7">
        <f t="shared" si="5"/>
        <v>2013</v>
      </c>
    </row>
    <row r="25" spans="1:16" ht="15.75" customHeight="1" x14ac:dyDescent="0.3">
      <c r="A25" s="11" t="s">
        <v>27</v>
      </c>
      <c r="B25" s="11" t="s">
        <v>23</v>
      </c>
      <c r="C25" s="12" t="s">
        <v>29</v>
      </c>
      <c r="D25" s="12" t="s">
        <v>19</v>
      </c>
      <c r="E25" s="11">
        <v>788</v>
      </c>
      <c r="F25" s="12">
        <v>10</v>
      </c>
      <c r="G25" s="12">
        <v>300</v>
      </c>
      <c r="H25" s="8">
        <f t="shared" si="1"/>
        <v>244280</v>
      </c>
      <c r="I25" s="12">
        <v>0</v>
      </c>
      <c r="J25" s="8">
        <f t="shared" si="2"/>
        <v>244280</v>
      </c>
      <c r="K25" s="12">
        <v>197000</v>
      </c>
      <c r="L25" s="8">
        <f t="shared" si="3"/>
        <v>47280</v>
      </c>
      <c r="M25" s="13">
        <v>41518</v>
      </c>
      <c r="N25" s="10">
        <f t="shared" si="4"/>
        <v>9</v>
      </c>
      <c r="O25" s="8" t="str">
        <f t="shared" si="0"/>
        <v>September</v>
      </c>
      <c r="P25" s="7">
        <f t="shared" si="5"/>
        <v>2013</v>
      </c>
    </row>
    <row r="26" spans="1:16" ht="15.75" customHeight="1" x14ac:dyDescent="0.3">
      <c r="A26" s="7" t="s">
        <v>21</v>
      </c>
      <c r="B26" s="7" t="s">
        <v>23</v>
      </c>
      <c r="C26" s="8" t="s">
        <v>29</v>
      </c>
      <c r="D26" s="8" t="s">
        <v>19</v>
      </c>
      <c r="E26" s="7">
        <v>2472</v>
      </c>
      <c r="F26" s="8">
        <v>10</v>
      </c>
      <c r="G26" s="8">
        <v>15</v>
      </c>
      <c r="H26" s="8">
        <f t="shared" si="1"/>
        <v>61800</v>
      </c>
      <c r="I26" s="8">
        <v>0</v>
      </c>
      <c r="J26" s="8">
        <f t="shared" si="2"/>
        <v>61800</v>
      </c>
      <c r="K26" s="8">
        <v>24720</v>
      </c>
      <c r="L26" s="8">
        <f t="shared" si="3"/>
        <v>37080</v>
      </c>
      <c r="M26" s="9">
        <v>41883</v>
      </c>
      <c r="N26" s="10">
        <f t="shared" si="4"/>
        <v>9</v>
      </c>
      <c r="O26" s="8" t="str">
        <f t="shared" si="0"/>
        <v>September</v>
      </c>
      <c r="P26" s="7">
        <f t="shared" si="5"/>
        <v>2014</v>
      </c>
    </row>
    <row r="27" spans="1:16" ht="15.75" customHeight="1" x14ac:dyDescent="0.3">
      <c r="A27" s="11" t="s">
        <v>16</v>
      </c>
      <c r="B27" s="11" t="s">
        <v>28</v>
      </c>
      <c r="C27" s="12" t="s">
        <v>29</v>
      </c>
      <c r="D27" s="12" t="s">
        <v>19</v>
      </c>
      <c r="E27" s="11">
        <v>1143</v>
      </c>
      <c r="F27" s="12">
        <v>10</v>
      </c>
      <c r="G27" s="12">
        <v>7</v>
      </c>
      <c r="H27" s="8">
        <f t="shared" si="1"/>
        <v>19431</v>
      </c>
      <c r="I27" s="12">
        <v>0</v>
      </c>
      <c r="J27" s="8">
        <f t="shared" si="2"/>
        <v>19431</v>
      </c>
      <c r="K27" s="12">
        <v>5715</v>
      </c>
      <c r="L27" s="8">
        <f t="shared" si="3"/>
        <v>13716</v>
      </c>
      <c r="M27" s="13">
        <v>41913</v>
      </c>
      <c r="N27" s="10">
        <f t="shared" si="4"/>
        <v>10</v>
      </c>
      <c r="O27" s="8" t="str">
        <f t="shared" si="0"/>
        <v>October</v>
      </c>
      <c r="P27" s="7">
        <f t="shared" si="5"/>
        <v>2014</v>
      </c>
    </row>
    <row r="28" spans="1:16" ht="15.75" customHeight="1" x14ac:dyDescent="0.3">
      <c r="A28" s="7" t="s">
        <v>16</v>
      </c>
      <c r="B28" s="7" t="s">
        <v>17</v>
      </c>
      <c r="C28" s="8" t="s">
        <v>29</v>
      </c>
      <c r="D28" s="8" t="s">
        <v>19</v>
      </c>
      <c r="E28" s="7">
        <v>1725</v>
      </c>
      <c r="F28" s="8">
        <v>10</v>
      </c>
      <c r="G28" s="8">
        <v>350</v>
      </c>
      <c r="H28" s="8">
        <f t="shared" si="1"/>
        <v>621000</v>
      </c>
      <c r="I28" s="8">
        <v>0</v>
      </c>
      <c r="J28" s="8">
        <f t="shared" si="2"/>
        <v>621000</v>
      </c>
      <c r="K28" s="8">
        <v>448500</v>
      </c>
      <c r="L28" s="8">
        <f t="shared" si="3"/>
        <v>172500</v>
      </c>
      <c r="M28" s="9">
        <v>41579</v>
      </c>
      <c r="N28" s="10">
        <f t="shared" si="4"/>
        <v>11</v>
      </c>
      <c r="O28" s="8" t="str">
        <f t="shared" si="0"/>
        <v>November</v>
      </c>
      <c r="P28" s="7">
        <f t="shared" si="5"/>
        <v>2013</v>
      </c>
    </row>
    <row r="29" spans="1:16" ht="15.75" customHeight="1" x14ac:dyDescent="0.3">
      <c r="A29" s="11" t="s">
        <v>25</v>
      </c>
      <c r="B29" s="11" t="s">
        <v>28</v>
      </c>
      <c r="C29" s="12" t="s">
        <v>29</v>
      </c>
      <c r="D29" s="12" t="s">
        <v>19</v>
      </c>
      <c r="E29" s="11">
        <v>912</v>
      </c>
      <c r="F29" s="12">
        <v>10</v>
      </c>
      <c r="G29" s="12">
        <v>12</v>
      </c>
      <c r="H29" s="8">
        <f t="shared" si="1"/>
        <v>20064</v>
      </c>
      <c r="I29" s="12">
        <v>0</v>
      </c>
      <c r="J29" s="8">
        <f t="shared" si="2"/>
        <v>20064</v>
      </c>
      <c r="K29" s="12">
        <v>2736</v>
      </c>
      <c r="L29" s="8">
        <f t="shared" si="3"/>
        <v>17328</v>
      </c>
      <c r="M29" s="13">
        <v>41579</v>
      </c>
      <c r="N29" s="10">
        <f t="shared" si="4"/>
        <v>11</v>
      </c>
      <c r="O29" s="8" t="str">
        <f t="shared" si="0"/>
        <v>November</v>
      </c>
      <c r="P29" s="7">
        <f t="shared" si="5"/>
        <v>2013</v>
      </c>
    </row>
    <row r="30" spans="1:16" ht="15.75" customHeight="1" x14ac:dyDescent="0.3">
      <c r="A30" s="7" t="s">
        <v>21</v>
      </c>
      <c r="B30" s="7" t="s">
        <v>17</v>
      </c>
      <c r="C30" s="8" t="s">
        <v>29</v>
      </c>
      <c r="D30" s="8" t="s">
        <v>19</v>
      </c>
      <c r="E30" s="7">
        <v>2152</v>
      </c>
      <c r="F30" s="8">
        <v>10</v>
      </c>
      <c r="G30" s="8">
        <v>15</v>
      </c>
      <c r="H30" s="8">
        <f t="shared" si="1"/>
        <v>53800</v>
      </c>
      <c r="I30" s="8">
        <v>0</v>
      </c>
      <c r="J30" s="8">
        <f t="shared" si="2"/>
        <v>53800</v>
      </c>
      <c r="K30" s="8">
        <v>21520</v>
      </c>
      <c r="L30" s="8">
        <f t="shared" si="3"/>
        <v>32280</v>
      </c>
      <c r="M30" s="9">
        <v>41609</v>
      </c>
      <c r="N30" s="10">
        <f t="shared" si="4"/>
        <v>12</v>
      </c>
      <c r="O30" s="8" t="str">
        <f t="shared" si="0"/>
        <v>December</v>
      </c>
      <c r="P30" s="7">
        <f t="shared" si="5"/>
        <v>2013</v>
      </c>
    </row>
    <row r="31" spans="1:16" ht="15.75" customHeight="1" x14ac:dyDescent="0.3">
      <c r="A31" s="11" t="s">
        <v>16</v>
      </c>
      <c r="B31" s="11" t="s">
        <v>17</v>
      </c>
      <c r="C31" s="12" t="s">
        <v>29</v>
      </c>
      <c r="D31" s="12" t="s">
        <v>19</v>
      </c>
      <c r="E31" s="11">
        <v>1817</v>
      </c>
      <c r="F31" s="12">
        <v>10</v>
      </c>
      <c r="G31" s="12">
        <v>20</v>
      </c>
      <c r="H31" s="8">
        <f t="shared" si="1"/>
        <v>54510</v>
      </c>
      <c r="I31" s="12">
        <v>0</v>
      </c>
      <c r="J31" s="8">
        <f t="shared" si="2"/>
        <v>54510</v>
      </c>
      <c r="K31" s="12">
        <v>18170</v>
      </c>
      <c r="L31" s="8">
        <f t="shared" si="3"/>
        <v>36340</v>
      </c>
      <c r="M31" s="13">
        <v>41974</v>
      </c>
      <c r="N31" s="10">
        <f t="shared" si="4"/>
        <v>12</v>
      </c>
      <c r="O31" s="8" t="str">
        <f t="shared" si="0"/>
        <v>December</v>
      </c>
      <c r="P31" s="7">
        <f t="shared" si="5"/>
        <v>2014</v>
      </c>
    </row>
    <row r="32" spans="1:16" ht="15.75" customHeight="1" x14ac:dyDescent="0.3">
      <c r="A32" s="7" t="s">
        <v>16</v>
      </c>
      <c r="B32" s="7" t="s">
        <v>20</v>
      </c>
      <c r="C32" s="8" t="s">
        <v>29</v>
      </c>
      <c r="D32" s="8" t="s">
        <v>19</v>
      </c>
      <c r="E32" s="7">
        <v>1513</v>
      </c>
      <c r="F32" s="8">
        <v>10</v>
      </c>
      <c r="G32" s="8">
        <v>350</v>
      </c>
      <c r="H32" s="8">
        <f t="shared" si="1"/>
        <v>544680</v>
      </c>
      <c r="I32" s="8">
        <v>0</v>
      </c>
      <c r="J32" s="8">
        <f t="shared" si="2"/>
        <v>544680</v>
      </c>
      <c r="K32" s="8">
        <v>393380</v>
      </c>
      <c r="L32" s="8">
        <f t="shared" si="3"/>
        <v>151300</v>
      </c>
      <c r="M32" s="9">
        <v>41974</v>
      </c>
      <c r="N32" s="10">
        <f t="shared" si="4"/>
        <v>12</v>
      </c>
      <c r="O32" s="8" t="str">
        <f t="shared" si="0"/>
        <v>December</v>
      </c>
      <c r="P32" s="7">
        <f t="shared" si="5"/>
        <v>2014</v>
      </c>
    </row>
    <row r="33" spans="1:16" ht="15.75" customHeight="1" x14ac:dyDescent="0.3">
      <c r="A33" s="11" t="s">
        <v>16</v>
      </c>
      <c r="B33" s="11" t="s">
        <v>23</v>
      </c>
      <c r="C33" s="12" t="s">
        <v>30</v>
      </c>
      <c r="D33" s="12" t="s">
        <v>19</v>
      </c>
      <c r="E33" s="11">
        <v>1493</v>
      </c>
      <c r="F33" s="12">
        <v>120</v>
      </c>
      <c r="G33" s="12">
        <v>7</v>
      </c>
      <c r="H33" s="8">
        <f t="shared" si="1"/>
        <v>189611</v>
      </c>
      <c r="I33" s="12">
        <v>0</v>
      </c>
      <c r="J33" s="8">
        <f t="shared" si="2"/>
        <v>189611</v>
      </c>
      <c r="K33" s="12">
        <v>7465</v>
      </c>
      <c r="L33" s="8">
        <f t="shared" si="3"/>
        <v>182146</v>
      </c>
      <c r="M33" s="13">
        <v>41640</v>
      </c>
      <c r="N33" s="10">
        <f t="shared" si="4"/>
        <v>1</v>
      </c>
      <c r="O33" s="8" t="str">
        <f t="shared" si="0"/>
        <v>January</v>
      </c>
      <c r="P33" s="7">
        <f t="shared" si="5"/>
        <v>2014</v>
      </c>
    </row>
    <row r="34" spans="1:16" ht="15.75" customHeight="1" x14ac:dyDescent="0.3">
      <c r="A34" s="7" t="s">
        <v>26</v>
      </c>
      <c r="B34" s="7" t="s">
        <v>22</v>
      </c>
      <c r="C34" s="8" t="s">
        <v>30</v>
      </c>
      <c r="D34" s="8" t="s">
        <v>19</v>
      </c>
      <c r="E34" s="7">
        <v>1804</v>
      </c>
      <c r="F34" s="8">
        <v>120</v>
      </c>
      <c r="G34" s="8">
        <v>125</v>
      </c>
      <c r="H34" s="8">
        <f t="shared" si="1"/>
        <v>441980</v>
      </c>
      <c r="I34" s="8">
        <v>0</v>
      </c>
      <c r="J34" s="8">
        <f t="shared" si="2"/>
        <v>441980</v>
      </c>
      <c r="K34" s="8">
        <v>216480</v>
      </c>
      <c r="L34" s="8">
        <f t="shared" si="3"/>
        <v>225500</v>
      </c>
      <c r="M34" s="9">
        <v>41671</v>
      </c>
      <c r="N34" s="10">
        <f t="shared" si="4"/>
        <v>2</v>
      </c>
      <c r="O34" s="8" t="str">
        <f t="shared" si="0"/>
        <v>February</v>
      </c>
      <c r="P34" s="7">
        <f t="shared" si="5"/>
        <v>2014</v>
      </c>
    </row>
    <row r="35" spans="1:16" ht="15.75" customHeight="1" x14ac:dyDescent="0.3">
      <c r="A35" s="11" t="s">
        <v>25</v>
      </c>
      <c r="B35" s="11" t="s">
        <v>20</v>
      </c>
      <c r="C35" s="12" t="s">
        <v>30</v>
      </c>
      <c r="D35" s="12" t="s">
        <v>19</v>
      </c>
      <c r="E35" s="11">
        <v>2161</v>
      </c>
      <c r="F35" s="12">
        <v>120</v>
      </c>
      <c r="G35" s="12">
        <v>12</v>
      </c>
      <c r="H35" s="8">
        <f t="shared" si="1"/>
        <v>285252</v>
      </c>
      <c r="I35" s="12">
        <v>0</v>
      </c>
      <c r="J35" s="8">
        <f t="shared" si="2"/>
        <v>285252</v>
      </c>
      <c r="K35" s="12">
        <v>6483</v>
      </c>
      <c r="L35" s="8">
        <f t="shared" si="3"/>
        <v>278769</v>
      </c>
      <c r="M35" s="13">
        <v>41699</v>
      </c>
      <c r="N35" s="10">
        <f t="shared" si="4"/>
        <v>3</v>
      </c>
      <c r="O35" s="8" t="str">
        <f t="shared" si="0"/>
        <v>March</v>
      </c>
      <c r="P35" s="7">
        <f t="shared" si="5"/>
        <v>2014</v>
      </c>
    </row>
    <row r="36" spans="1:16" ht="15.75" customHeight="1" x14ac:dyDescent="0.3">
      <c r="A36" s="7" t="s">
        <v>16</v>
      </c>
      <c r="B36" s="7" t="s">
        <v>20</v>
      </c>
      <c r="C36" s="8" t="s">
        <v>30</v>
      </c>
      <c r="D36" s="8" t="s">
        <v>19</v>
      </c>
      <c r="E36" s="7">
        <v>1006</v>
      </c>
      <c r="F36" s="8">
        <v>120</v>
      </c>
      <c r="G36" s="8">
        <v>350</v>
      </c>
      <c r="H36" s="8">
        <f t="shared" si="1"/>
        <v>472820</v>
      </c>
      <c r="I36" s="8">
        <v>0</v>
      </c>
      <c r="J36" s="8">
        <f t="shared" si="2"/>
        <v>472820</v>
      </c>
      <c r="K36" s="8">
        <v>261560</v>
      </c>
      <c r="L36" s="8">
        <f t="shared" si="3"/>
        <v>211260</v>
      </c>
      <c r="M36" s="9">
        <v>41791</v>
      </c>
      <c r="N36" s="10">
        <f t="shared" si="4"/>
        <v>6</v>
      </c>
      <c r="O36" s="8" t="str">
        <f t="shared" si="0"/>
        <v>June</v>
      </c>
      <c r="P36" s="7">
        <f t="shared" si="5"/>
        <v>2014</v>
      </c>
    </row>
    <row r="37" spans="1:16" ht="15.75" customHeight="1" x14ac:dyDescent="0.3">
      <c r="A37" s="11" t="s">
        <v>25</v>
      </c>
      <c r="B37" s="11" t="s">
        <v>20</v>
      </c>
      <c r="C37" s="12" t="s">
        <v>30</v>
      </c>
      <c r="D37" s="12" t="s">
        <v>19</v>
      </c>
      <c r="E37" s="11">
        <v>1545</v>
      </c>
      <c r="F37" s="12">
        <v>120</v>
      </c>
      <c r="G37" s="12">
        <v>12</v>
      </c>
      <c r="H37" s="8">
        <f t="shared" si="1"/>
        <v>203940</v>
      </c>
      <c r="I37" s="12">
        <v>0</v>
      </c>
      <c r="J37" s="8">
        <f t="shared" si="2"/>
        <v>203940</v>
      </c>
      <c r="K37" s="12">
        <v>4635</v>
      </c>
      <c r="L37" s="8">
        <f t="shared" si="3"/>
        <v>199305</v>
      </c>
      <c r="M37" s="13">
        <v>41791</v>
      </c>
      <c r="N37" s="10">
        <f t="shared" si="4"/>
        <v>6</v>
      </c>
      <c r="O37" s="8" t="str">
        <f t="shared" si="0"/>
        <v>June</v>
      </c>
      <c r="P37" s="7">
        <f t="shared" si="5"/>
        <v>2014</v>
      </c>
    </row>
    <row r="38" spans="1:16" ht="15.75" customHeight="1" x14ac:dyDescent="0.3">
      <c r="A38" s="7" t="s">
        <v>26</v>
      </c>
      <c r="B38" s="7" t="s">
        <v>28</v>
      </c>
      <c r="C38" s="8" t="s">
        <v>30</v>
      </c>
      <c r="D38" s="8" t="s">
        <v>19</v>
      </c>
      <c r="E38" s="7">
        <v>2821</v>
      </c>
      <c r="F38" s="8">
        <v>120</v>
      </c>
      <c r="G38" s="8">
        <v>125</v>
      </c>
      <c r="H38" s="8">
        <f t="shared" si="1"/>
        <v>691145</v>
      </c>
      <c r="I38" s="8">
        <v>0</v>
      </c>
      <c r="J38" s="8">
        <f t="shared" si="2"/>
        <v>691145</v>
      </c>
      <c r="K38" s="8">
        <v>338520</v>
      </c>
      <c r="L38" s="8">
        <f t="shared" si="3"/>
        <v>352625</v>
      </c>
      <c r="M38" s="9">
        <v>41852</v>
      </c>
      <c r="N38" s="10">
        <f t="shared" si="4"/>
        <v>8</v>
      </c>
      <c r="O38" s="8" t="str">
        <f t="shared" si="0"/>
        <v>August</v>
      </c>
      <c r="P38" s="7">
        <f t="shared" si="5"/>
        <v>2014</v>
      </c>
    </row>
    <row r="39" spans="1:16" ht="15.75" customHeight="1" x14ac:dyDescent="0.3">
      <c r="A39" s="11" t="s">
        <v>26</v>
      </c>
      <c r="B39" s="11" t="s">
        <v>17</v>
      </c>
      <c r="C39" s="12" t="s">
        <v>30</v>
      </c>
      <c r="D39" s="12" t="s">
        <v>19</v>
      </c>
      <c r="E39" s="11">
        <v>345</v>
      </c>
      <c r="F39" s="12">
        <v>120</v>
      </c>
      <c r="G39" s="12">
        <v>125</v>
      </c>
      <c r="H39" s="8">
        <f t="shared" si="1"/>
        <v>84525</v>
      </c>
      <c r="I39" s="12">
        <v>0</v>
      </c>
      <c r="J39" s="8">
        <f t="shared" si="2"/>
        <v>84525</v>
      </c>
      <c r="K39" s="12">
        <v>41400</v>
      </c>
      <c r="L39" s="8">
        <f t="shared" si="3"/>
        <v>43125</v>
      </c>
      <c r="M39" s="13">
        <v>41548</v>
      </c>
      <c r="N39" s="10">
        <f t="shared" si="4"/>
        <v>10</v>
      </c>
      <c r="O39" s="8" t="str">
        <f t="shared" si="0"/>
        <v>October</v>
      </c>
      <c r="P39" s="7">
        <f t="shared" si="5"/>
        <v>2013</v>
      </c>
    </row>
    <row r="40" spans="1:16" ht="15.75" customHeight="1" x14ac:dyDescent="0.3">
      <c r="A40" s="7" t="s">
        <v>27</v>
      </c>
      <c r="B40" s="7" t="s">
        <v>17</v>
      </c>
      <c r="C40" s="8" t="s">
        <v>31</v>
      </c>
      <c r="D40" s="8" t="s">
        <v>19</v>
      </c>
      <c r="E40" s="7">
        <v>2001</v>
      </c>
      <c r="F40" s="8">
        <v>250</v>
      </c>
      <c r="G40" s="8">
        <v>300</v>
      </c>
      <c r="H40" s="8">
        <f t="shared" si="1"/>
        <v>1100550</v>
      </c>
      <c r="I40" s="8">
        <v>0</v>
      </c>
      <c r="J40" s="8">
        <f t="shared" si="2"/>
        <v>1100550</v>
      </c>
      <c r="K40" s="8">
        <v>500250</v>
      </c>
      <c r="L40" s="8">
        <f t="shared" si="3"/>
        <v>600300</v>
      </c>
      <c r="M40" s="9">
        <v>41671</v>
      </c>
      <c r="N40" s="10">
        <f t="shared" si="4"/>
        <v>2</v>
      </c>
      <c r="O40" s="8" t="str">
        <f t="shared" si="0"/>
        <v>February</v>
      </c>
      <c r="P40" s="7">
        <f t="shared" si="5"/>
        <v>2014</v>
      </c>
    </row>
    <row r="41" spans="1:16" ht="15.75" customHeight="1" x14ac:dyDescent="0.3">
      <c r="A41" s="11" t="s">
        <v>25</v>
      </c>
      <c r="B41" s="11" t="s">
        <v>20</v>
      </c>
      <c r="C41" s="12" t="s">
        <v>31</v>
      </c>
      <c r="D41" s="12" t="s">
        <v>19</v>
      </c>
      <c r="E41" s="11">
        <v>2838</v>
      </c>
      <c r="F41" s="12">
        <v>250</v>
      </c>
      <c r="G41" s="12">
        <v>12</v>
      </c>
      <c r="H41" s="8">
        <f t="shared" si="1"/>
        <v>743556</v>
      </c>
      <c r="I41" s="12">
        <v>0</v>
      </c>
      <c r="J41" s="8">
        <f t="shared" si="2"/>
        <v>743556</v>
      </c>
      <c r="K41" s="12">
        <v>8514</v>
      </c>
      <c r="L41" s="8">
        <f t="shared" si="3"/>
        <v>735042</v>
      </c>
      <c r="M41" s="13">
        <v>41730</v>
      </c>
      <c r="N41" s="10">
        <f t="shared" si="4"/>
        <v>4</v>
      </c>
      <c r="O41" s="8" t="str">
        <f t="shared" si="0"/>
        <v>April</v>
      </c>
      <c r="P41" s="7">
        <f t="shared" si="5"/>
        <v>2014</v>
      </c>
    </row>
    <row r="42" spans="1:16" ht="15.75" customHeight="1" x14ac:dyDescent="0.3">
      <c r="A42" s="7" t="s">
        <v>21</v>
      </c>
      <c r="B42" s="7" t="s">
        <v>22</v>
      </c>
      <c r="C42" s="8" t="s">
        <v>31</v>
      </c>
      <c r="D42" s="8" t="s">
        <v>19</v>
      </c>
      <c r="E42" s="7">
        <v>2178</v>
      </c>
      <c r="F42" s="8">
        <v>250</v>
      </c>
      <c r="G42" s="8">
        <v>15</v>
      </c>
      <c r="H42" s="8">
        <f t="shared" si="1"/>
        <v>577170</v>
      </c>
      <c r="I42" s="8">
        <v>0</v>
      </c>
      <c r="J42" s="8">
        <f t="shared" si="2"/>
        <v>577170</v>
      </c>
      <c r="K42" s="8">
        <v>21780</v>
      </c>
      <c r="L42" s="8">
        <f t="shared" si="3"/>
        <v>555390</v>
      </c>
      <c r="M42" s="9">
        <v>41791</v>
      </c>
      <c r="N42" s="10">
        <f t="shared" si="4"/>
        <v>6</v>
      </c>
      <c r="O42" s="8" t="str">
        <f t="shared" si="0"/>
        <v>June</v>
      </c>
      <c r="P42" s="7">
        <f t="shared" si="5"/>
        <v>2014</v>
      </c>
    </row>
    <row r="43" spans="1:16" ht="15.75" customHeight="1" x14ac:dyDescent="0.3">
      <c r="A43" s="11" t="s">
        <v>21</v>
      </c>
      <c r="B43" s="11" t="s">
        <v>20</v>
      </c>
      <c r="C43" s="12" t="s">
        <v>31</v>
      </c>
      <c r="D43" s="12" t="s">
        <v>19</v>
      </c>
      <c r="E43" s="11">
        <v>888</v>
      </c>
      <c r="F43" s="12">
        <v>250</v>
      </c>
      <c r="G43" s="12">
        <v>15</v>
      </c>
      <c r="H43" s="8">
        <f t="shared" si="1"/>
        <v>235320</v>
      </c>
      <c r="I43" s="12">
        <v>0</v>
      </c>
      <c r="J43" s="8">
        <f t="shared" si="2"/>
        <v>235320</v>
      </c>
      <c r="K43" s="12">
        <v>8880</v>
      </c>
      <c r="L43" s="8">
        <f t="shared" si="3"/>
        <v>226440</v>
      </c>
      <c r="M43" s="13">
        <v>41791</v>
      </c>
      <c r="N43" s="10">
        <f t="shared" si="4"/>
        <v>6</v>
      </c>
      <c r="O43" s="8" t="str">
        <f t="shared" si="0"/>
        <v>June</v>
      </c>
      <c r="P43" s="7">
        <f t="shared" si="5"/>
        <v>2014</v>
      </c>
    </row>
    <row r="44" spans="1:16" ht="15.75" customHeight="1" x14ac:dyDescent="0.3">
      <c r="A44" s="7" t="s">
        <v>16</v>
      </c>
      <c r="B44" s="7" t="s">
        <v>22</v>
      </c>
      <c r="C44" s="8" t="s">
        <v>31</v>
      </c>
      <c r="D44" s="8" t="s">
        <v>19</v>
      </c>
      <c r="E44" s="7">
        <v>1527</v>
      </c>
      <c r="F44" s="8">
        <v>250</v>
      </c>
      <c r="G44" s="8">
        <v>350</v>
      </c>
      <c r="H44" s="8">
        <f t="shared" si="1"/>
        <v>916200</v>
      </c>
      <c r="I44" s="8">
        <v>0</v>
      </c>
      <c r="J44" s="8">
        <f t="shared" si="2"/>
        <v>916200</v>
      </c>
      <c r="K44" s="8">
        <v>397020</v>
      </c>
      <c r="L44" s="8">
        <f t="shared" si="3"/>
        <v>519180</v>
      </c>
      <c r="M44" s="9">
        <v>41518</v>
      </c>
      <c r="N44" s="10">
        <f t="shared" si="4"/>
        <v>9</v>
      </c>
      <c r="O44" s="8" t="str">
        <f t="shared" si="0"/>
        <v>September</v>
      </c>
      <c r="P44" s="7">
        <f t="shared" si="5"/>
        <v>2013</v>
      </c>
    </row>
    <row r="45" spans="1:16" ht="15.75" customHeight="1" x14ac:dyDescent="0.3">
      <c r="A45" s="11" t="s">
        <v>27</v>
      </c>
      <c r="B45" s="11" t="s">
        <v>22</v>
      </c>
      <c r="C45" s="12" t="s">
        <v>31</v>
      </c>
      <c r="D45" s="12" t="s">
        <v>19</v>
      </c>
      <c r="E45" s="11">
        <v>2151</v>
      </c>
      <c r="F45" s="12">
        <v>250</v>
      </c>
      <c r="G45" s="12">
        <v>300</v>
      </c>
      <c r="H45" s="8">
        <f t="shared" si="1"/>
        <v>1183050</v>
      </c>
      <c r="I45" s="12">
        <v>0</v>
      </c>
      <c r="J45" s="8">
        <f t="shared" si="2"/>
        <v>1183050</v>
      </c>
      <c r="K45" s="12">
        <v>537750</v>
      </c>
      <c r="L45" s="8">
        <f t="shared" si="3"/>
        <v>645300</v>
      </c>
      <c r="M45" s="13">
        <v>41883</v>
      </c>
      <c r="N45" s="10">
        <f t="shared" si="4"/>
        <v>9</v>
      </c>
      <c r="O45" s="8" t="str">
        <f t="shared" si="0"/>
        <v>September</v>
      </c>
      <c r="P45" s="7">
        <f t="shared" si="5"/>
        <v>2014</v>
      </c>
    </row>
    <row r="46" spans="1:16" ht="15.75" customHeight="1" x14ac:dyDescent="0.3">
      <c r="A46" s="7" t="s">
        <v>16</v>
      </c>
      <c r="B46" s="7" t="s">
        <v>17</v>
      </c>
      <c r="C46" s="8" t="s">
        <v>31</v>
      </c>
      <c r="D46" s="8" t="s">
        <v>19</v>
      </c>
      <c r="E46" s="7">
        <v>1817</v>
      </c>
      <c r="F46" s="8">
        <v>250</v>
      </c>
      <c r="G46" s="8">
        <v>20</v>
      </c>
      <c r="H46" s="8">
        <f t="shared" si="1"/>
        <v>490590</v>
      </c>
      <c r="I46" s="8">
        <v>0</v>
      </c>
      <c r="J46" s="8">
        <f t="shared" si="2"/>
        <v>490590</v>
      </c>
      <c r="K46" s="8">
        <v>18170</v>
      </c>
      <c r="L46" s="8">
        <f t="shared" si="3"/>
        <v>472420</v>
      </c>
      <c r="M46" s="9">
        <v>41974</v>
      </c>
      <c r="N46" s="10">
        <f t="shared" si="4"/>
        <v>12</v>
      </c>
      <c r="O46" s="8" t="str">
        <f t="shared" si="0"/>
        <v>December</v>
      </c>
      <c r="P46" s="7">
        <f t="shared" si="5"/>
        <v>2014</v>
      </c>
    </row>
    <row r="47" spans="1:16" ht="15.75" customHeight="1" x14ac:dyDescent="0.3">
      <c r="A47" s="11" t="s">
        <v>16</v>
      </c>
      <c r="B47" s="11" t="s">
        <v>22</v>
      </c>
      <c r="C47" s="12" t="s">
        <v>32</v>
      </c>
      <c r="D47" s="12" t="s">
        <v>19</v>
      </c>
      <c r="E47" s="11">
        <v>2750</v>
      </c>
      <c r="F47" s="12">
        <v>260</v>
      </c>
      <c r="G47" s="12">
        <v>350</v>
      </c>
      <c r="H47" s="8">
        <f t="shared" si="1"/>
        <v>1677500</v>
      </c>
      <c r="I47" s="12">
        <v>0</v>
      </c>
      <c r="J47" s="8">
        <f t="shared" si="2"/>
        <v>1677500</v>
      </c>
      <c r="K47" s="12">
        <v>715000</v>
      </c>
      <c r="L47" s="8">
        <f t="shared" si="3"/>
        <v>962500</v>
      </c>
      <c r="M47" s="13">
        <v>41671</v>
      </c>
      <c r="N47" s="10">
        <f t="shared" si="4"/>
        <v>2</v>
      </c>
      <c r="O47" s="8" t="str">
        <f t="shared" si="0"/>
        <v>February</v>
      </c>
      <c r="P47" s="7">
        <f t="shared" si="5"/>
        <v>2014</v>
      </c>
    </row>
    <row r="48" spans="1:16" ht="15.75" customHeight="1" x14ac:dyDescent="0.3">
      <c r="A48" s="7" t="s">
        <v>25</v>
      </c>
      <c r="B48" s="7" t="s">
        <v>28</v>
      </c>
      <c r="C48" s="8" t="s">
        <v>32</v>
      </c>
      <c r="D48" s="8" t="s">
        <v>19</v>
      </c>
      <c r="E48" s="7">
        <v>1953</v>
      </c>
      <c r="F48" s="8">
        <v>260</v>
      </c>
      <c r="G48" s="8">
        <v>12</v>
      </c>
      <c r="H48" s="8">
        <f t="shared" si="1"/>
        <v>531216</v>
      </c>
      <c r="I48" s="8">
        <v>0</v>
      </c>
      <c r="J48" s="8">
        <f t="shared" si="2"/>
        <v>531216</v>
      </c>
      <c r="K48" s="8">
        <v>5859</v>
      </c>
      <c r="L48" s="8">
        <f t="shared" si="3"/>
        <v>525357</v>
      </c>
      <c r="M48" s="9">
        <v>41730</v>
      </c>
      <c r="N48" s="10">
        <f t="shared" si="4"/>
        <v>4</v>
      </c>
      <c r="O48" s="8" t="str">
        <f t="shared" si="0"/>
        <v>April</v>
      </c>
      <c r="P48" s="7">
        <f t="shared" si="5"/>
        <v>2014</v>
      </c>
    </row>
    <row r="49" spans="1:16" ht="15.75" customHeight="1" x14ac:dyDescent="0.3">
      <c r="A49" s="11" t="s">
        <v>26</v>
      </c>
      <c r="B49" s="11" t="s">
        <v>20</v>
      </c>
      <c r="C49" s="12" t="s">
        <v>32</v>
      </c>
      <c r="D49" s="12" t="s">
        <v>19</v>
      </c>
      <c r="E49" s="11">
        <v>4219.5</v>
      </c>
      <c r="F49" s="12">
        <v>260</v>
      </c>
      <c r="G49" s="12">
        <v>125</v>
      </c>
      <c r="H49" s="8">
        <f t="shared" si="1"/>
        <v>1624507.5</v>
      </c>
      <c r="I49" s="12">
        <v>0</v>
      </c>
      <c r="J49" s="8">
        <f t="shared" si="2"/>
        <v>1624507.5</v>
      </c>
      <c r="K49" s="12">
        <v>506340</v>
      </c>
      <c r="L49" s="8">
        <f t="shared" si="3"/>
        <v>1118167.5</v>
      </c>
      <c r="M49" s="13">
        <v>41730</v>
      </c>
      <c r="N49" s="10">
        <f t="shared" si="4"/>
        <v>4</v>
      </c>
      <c r="O49" s="8" t="str">
        <f t="shared" si="0"/>
        <v>April</v>
      </c>
      <c r="P49" s="7">
        <f t="shared" si="5"/>
        <v>2014</v>
      </c>
    </row>
    <row r="50" spans="1:16" ht="15.75" customHeight="1" x14ac:dyDescent="0.3">
      <c r="A50" s="7" t="s">
        <v>16</v>
      </c>
      <c r="B50" s="7" t="s">
        <v>22</v>
      </c>
      <c r="C50" s="8" t="s">
        <v>32</v>
      </c>
      <c r="D50" s="8" t="s">
        <v>19</v>
      </c>
      <c r="E50" s="7">
        <v>1899</v>
      </c>
      <c r="F50" s="8">
        <v>260</v>
      </c>
      <c r="G50" s="8">
        <v>20</v>
      </c>
      <c r="H50" s="8">
        <f t="shared" si="1"/>
        <v>531720</v>
      </c>
      <c r="I50" s="8">
        <v>0</v>
      </c>
      <c r="J50" s="8">
        <f t="shared" si="2"/>
        <v>531720</v>
      </c>
      <c r="K50" s="8">
        <v>18990</v>
      </c>
      <c r="L50" s="8">
        <f t="shared" si="3"/>
        <v>512730</v>
      </c>
      <c r="M50" s="9">
        <v>41791</v>
      </c>
      <c r="N50" s="10">
        <f t="shared" si="4"/>
        <v>6</v>
      </c>
      <c r="O50" s="8" t="str">
        <f t="shared" si="0"/>
        <v>June</v>
      </c>
      <c r="P50" s="7">
        <f t="shared" si="5"/>
        <v>2014</v>
      </c>
    </row>
    <row r="51" spans="1:16" ht="15.75" customHeight="1" x14ac:dyDescent="0.3">
      <c r="A51" s="11" t="s">
        <v>16</v>
      </c>
      <c r="B51" s="11" t="s">
        <v>20</v>
      </c>
      <c r="C51" s="12" t="s">
        <v>32</v>
      </c>
      <c r="D51" s="12" t="s">
        <v>19</v>
      </c>
      <c r="E51" s="11">
        <v>1686</v>
      </c>
      <c r="F51" s="12">
        <v>260</v>
      </c>
      <c r="G51" s="12">
        <v>7</v>
      </c>
      <c r="H51" s="8">
        <f t="shared" si="1"/>
        <v>450162</v>
      </c>
      <c r="I51" s="12">
        <v>0</v>
      </c>
      <c r="J51" s="8">
        <f t="shared" si="2"/>
        <v>450162</v>
      </c>
      <c r="K51" s="12">
        <v>8430</v>
      </c>
      <c r="L51" s="8">
        <f t="shared" si="3"/>
        <v>441732</v>
      </c>
      <c r="M51" s="13">
        <v>41821</v>
      </c>
      <c r="N51" s="10">
        <f t="shared" si="4"/>
        <v>7</v>
      </c>
      <c r="O51" s="8" t="str">
        <f t="shared" si="0"/>
        <v>July</v>
      </c>
      <c r="P51" s="7">
        <f t="shared" si="5"/>
        <v>2014</v>
      </c>
    </row>
    <row r="52" spans="1:16" ht="15.75" customHeight="1" x14ac:dyDescent="0.3">
      <c r="A52" s="7" t="s">
        <v>25</v>
      </c>
      <c r="B52" s="7" t="s">
        <v>28</v>
      </c>
      <c r="C52" s="8" t="s">
        <v>32</v>
      </c>
      <c r="D52" s="8" t="s">
        <v>19</v>
      </c>
      <c r="E52" s="7">
        <v>2141</v>
      </c>
      <c r="F52" s="8">
        <v>260</v>
      </c>
      <c r="G52" s="8">
        <v>12</v>
      </c>
      <c r="H52" s="8">
        <f t="shared" si="1"/>
        <v>582352</v>
      </c>
      <c r="I52" s="8">
        <v>0</v>
      </c>
      <c r="J52" s="8">
        <f t="shared" si="2"/>
        <v>582352</v>
      </c>
      <c r="K52" s="8">
        <v>6423</v>
      </c>
      <c r="L52" s="8">
        <f t="shared" si="3"/>
        <v>575929</v>
      </c>
      <c r="M52" s="9">
        <v>41852</v>
      </c>
      <c r="N52" s="10">
        <f t="shared" si="4"/>
        <v>8</v>
      </c>
      <c r="O52" s="8" t="str">
        <f t="shared" si="0"/>
        <v>August</v>
      </c>
      <c r="P52" s="7">
        <f t="shared" si="5"/>
        <v>2014</v>
      </c>
    </row>
    <row r="53" spans="1:16" ht="15.75" customHeight="1" x14ac:dyDescent="0.3">
      <c r="A53" s="11" t="s">
        <v>16</v>
      </c>
      <c r="B53" s="11" t="s">
        <v>28</v>
      </c>
      <c r="C53" s="12" t="s">
        <v>32</v>
      </c>
      <c r="D53" s="12" t="s">
        <v>19</v>
      </c>
      <c r="E53" s="11">
        <v>1143</v>
      </c>
      <c r="F53" s="12">
        <v>260</v>
      </c>
      <c r="G53" s="12">
        <v>7</v>
      </c>
      <c r="H53" s="8">
        <f t="shared" si="1"/>
        <v>305181</v>
      </c>
      <c r="I53" s="12">
        <v>0</v>
      </c>
      <c r="J53" s="8">
        <f t="shared" si="2"/>
        <v>305181</v>
      </c>
      <c r="K53" s="12">
        <v>5715</v>
      </c>
      <c r="L53" s="8">
        <f t="shared" si="3"/>
        <v>299466</v>
      </c>
      <c r="M53" s="13">
        <v>41913</v>
      </c>
      <c r="N53" s="10">
        <f t="shared" si="4"/>
        <v>10</v>
      </c>
      <c r="O53" s="8" t="str">
        <f t="shared" si="0"/>
        <v>October</v>
      </c>
      <c r="P53" s="7">
        <f t="shared" si="5"/>
        <v>2014</v>
      </c>
    </row>
    <row r="54" spans="1:16" ht="15.75" customHeight="1" x14ac:dyDescent="0.3">
      <c r="A54" s="7" t="s">
        <v>21</v>
      </c>
      <c r="B54" s="7" t="s">
        <v>28</v>
      </c>
      <c r="C54" s="8" t="s">
        <v>32</v>
      </c>
      <c r="D54" s="8" t="s">
        <v>19</v>
      </c>
      <c r="E54" s="7">
        <v>615</v>
      </c>
      <c r="F54" s="8">
        <v>260</v>
      </c>
      <c r="G54" s="8">
        <v>15</v>
      </c>
      <c r="H54" s="8">
        <f t="shared" si="1"/>
        <v>169125</v>
      </c>
      <c r="I54" s="8">
        <v>0</v>
      </c>
      <c r="J54" s="8">
        <f t="shared" si="2"/>
        <v>169125</v>
      </c>
      <c r="K54" s="8">
        <v>6150</v>
      </c>
      <c r="L54" s="8">
        <f t="shared" si="3"/>
        <v>162975</v>
      </c>
      <c r="M54" s="9">
        <v>41974</v>
      </c>
      <c r="N54" s="10">
        <f t="shared" si="4"/>
        <v>12</v>
      </c>
      <c r="O54" s="8" t="str">
        <f t="shared" si="0"/>
        <v>December</v>
      </c>
      <c r="P54" s="7">
        <f t="shared" si="5"/>
        <v>2014</v>
      </c>
    </row>
    <row r="55" spans="1:16" ht="15.75" customHeight="1" x14ac:dyDescent="0.3">
      <c r="A55" s="11" t="s">
        <v>16</v>
      </c>
      <c r="B55" s="11" t="s">
        <v>22</v>
      </c>
      <c r="C55" s="12" t="s">
        <v>29</v>
      </c>
      <c r="D55" s="12" t="s">
        <v>33</v>
      </c>
      <c r="E55" s="11">
        <v>3945</v>
      </c>
      <c r="F55" s="12">
        <v>10</v>
      </c>
      <c r="G55" s="12">
        <v>7</v>
      </c>
      <c r="H55" s="8">
        <f t="shared" si="1"/>
        <v>67065</v>
      </c>
      <c r="I55" s="12">
        <v>276.14999999999998</v>
      </c>
      <c r="J55" s="8">
        <f t="shared" si="2"/>
        <v>66788.850000000006</v>
      </c>
      <c r="K55" s="12">
        <v>19725</v>
      </c>
      <c r="L55" s="8">
        <f t="shared" si="3"/>
        <v>47063.850000000006</v>
      </c>
      <c r="M55" s="13">
        <v>41640</v>
      </c>
      <c r="N55" s="10">
        <f t="shared" si="4"/>
        <v>1</v>
      </c>
      <c r="O55" s="8" t="str">
        <f t="shared" si="0"/>
        <v>January</v>
      </c>
      <c r="P55" s="7">
        <f t="shared" si="5"/>
        <v>2014</v>
      </c>
    </row>
    <row r="56" spans="1:16" ht="15.75" customHeight="1" x14ac:dyDescent="0.3">
      <c r="A56" s="7" t="s">
        <v>21</v>
      </c>
      <c r="B56" s="7" t="s">
        <v>22</v>
      </c>
      <c r="C56" s="8" t="s">
        <v>29</v>
      </c>
      <c r="D56" s="8" t="s">
        <v>33</v>
      </c>
      <c r="E56" s="7">
        <v>2296</v>
      </c>
      <c r="F56" s="8">
        <v>10</v>
      </c>
      <c r="G56" s="8">
        <v>15</v>
      </c>
      <c r="H56" s="8">
        <f t="shared" si="1"/>
        <v>57400</v>
      </c>
      <c r="I56" s="8">
        <v>344.4</v>
      </c>
      <c r="J56" s="8">
        <f t="shared" si="2"/>
        <v>57055.6</v>
      </c>
      <c r="K56" s="8">
        <v>22960</v>
      </c>
      <c r="L56" s="8">
        <f t="shared" si="3"/>
        <v>34095.599999999999</v>
      </c>
      <c r="M56" s="9">
        <v>41671</v>
      </c>
      <c r="N56" s="10">
        <f t="shared" si="4"/>
        <v>2</v>
      </c>
      <c r="O56" s="8" t="str">
        <f t="shared" si="0"/>
        <v>February</v>
      </c>
      <c r="P56" s="7">
        <f t="shared" si="5"/>
        <v>2014</v>
      </c>
    </row>
    <row r="57" spans="1:16" ht="15.75" customHeight="1" x14ac:dyDescent="0.3">
      <c r="A57" s="11" t="s">
        <v>16</v>
      </c>
      <c r="B57" s="11" t="s">
        <v>22</v>
      </c>
      <c r="C57" s="12" t="s">
        <v>29</v>
      </c>
      <c r="D57" s="12" t="s">
        <v>33</v>
      </c>
      <c r="E57" s="11">
        <v>1030</v>
      </c>
      <c r="F57" s="12">
        <v>10</v>
      </c>
      <c r="G57" s="12">
        <v>7</v>
      </c>
      <c r="H57" s="8">
        <f t="shared" si="1"/>
        <v>17510</v>
      </c>
      <c r="I57" s="12">
        <v>72.099999999999994</v>
      </c>
      <c r="J57" s="8">
        <f t="shared" si="2"/>
        <v>17437.900000000001</v>
      </c>
      <c r="K57" s="12">
        <v>5150</v>
      </c>
      <c r="L57" s="8">
        <f t="shared" si="3"/>
        <v>12287.900000000001</v>
      </c>
      <c r="M57" s="13">
        <v>41760</v>
      </c>
      <c r="N57" s="10">
        <f t="shared" si="4"/>
        <v>5</v>
      </c>
      <c r="O57" s="8" t="str">
        <f t="shared" si="0"/>
        <v>May</v>
      </c>
      <c r="P57" s="7">
        <f t="shared" si="5"/>
        <v>2014</v>
      </c>
    </row>
    <row r="58" spans="1:16" ht="15.75" customHeight="1" x14ac:dyDescent="0.3">
      <c r="A58" s="7" t="s">
        <v>16</v>
      </c>
      <c r="B58" s="7" t="s">
        <v>22</v>
      </c>
      <c r="C58" s="8" t="s">
        <v>30</v>
      </c>
      <c r="D58" s="8" t="s">
        <v>33</v>
      </c>
      <c r="E58" s="7">
        <v>639</v>
      </c>
      <c r="F58" s="8">
        <v>120</v>
      </c>
      <c r="G58" s="8">
        <v>7</v>
      </c>
      <c r="H58" s="8">
        <f t="shared" si="1"/>
        <v>81153</v>
      </c>
      <c r="I58" s="8">
        <v>44.73</v>
      </c>
      <c r="J58" s="8">
        <f t="shared" si="2"/>
        <v>81108.27</v>
      </c>
      <c r="K58" s="8">
        <v>3195</v>
      </c>
      <c r="L58" s="8">
        <f t="shared" si="3"/>
        <v>77913.27</v>
      </c>
      <c r="M58" s="9">
        <v>41944</v>
      </c>
      <c r="N58" s="10">
        <f t="shared" si="4"/>
        <v>11</v>
      </c>
      <c r="O58" s="8" t="str">
        <f t="shared" si="0"/>
        <v>November</v>
      </c>
      <c r="P58" s="7">
        <f t="shared" si="5"/>
        <v>2014</v>
      </c>
    </row>
    <row r="59" spans="1:16" ht="15.75" customHeight="1" x14ac:dyDescent="0.3">
      <c r="A59" s="11" t="s">
        <v>16</v>
      </c>
      <c r="B59" s="11" t="s">
        <v>17</v>
      </c>
      <c r="C59" s="12" t="s">
        <v>31</v>
      </c>
      <c r="D59" s="12" t="s">
        <v>33</v>
      </c>
      <c r="E59" s="11">
        <v>1326</v>
      </c>
      <c r="F59" s="12">
        <v>250</v>
      </c>
      <c r="G59" s="12">
        <v>7</v>
      </c>
      <c r="H59" s="8">
        <f t="shared" si="1"/>
        <v>340782</v>
      </c>
      <c r="I59" s="12">
        <v>92.82</v>
      </c>
      <c r="J59" s="8">
        <f t="shared" si="2"/>
        <v>340689.18</v>
      </c>
      <c r="K59" s="12">
        <v>6630</v>
      </c>
      <c r="L59" s="8">
        <f t="shared" si="3"/>
        <v>334059.18</v>
      </c>
      <c r="M59" s="13">
        <v>41699</v>
      </c>
      <c r="N59" s="10">
        <f t="shared" si="4"/>
        <v>3</v>
      </c>
      <c r="O59" s="8" t="str">
        <f t="shared" si="0"/>
        <v>March</v>
      </c>
      <c r="P59" s="7">
        <f t="shared" si="5"/>
        <v>2014</v>
      </c>
    </row>
    <row r="60" spans="1:16" ht="15.75" customHeight="1" x14ac:dyDescent="0.3">
      <c r="A60" s="7" t="s">
        <v>25</v>
      </c>
      <c r="B60" s="7" t="s">
        <v>28</v>
      </c>
      <c r="C60" s="8" t="s">
        <v>18</v>
      </c>
      <c r="D60" s="8" t="s">
        <v>33</v>
      </c>
      <c r="E60" s="7">
        <v>1858</v>
      </c>
      <c r="F60" s="8">
        <v>3</v>
      </c>
      <c r="G60" s="8">
        <v>12</v>
      </c>
      <c r="H60" s="8">
        <f t="shared" si="1"/>
        <v>27870</v>
      </c>
      <c r="I60" s="8">
        <v>222.96</v>
      </c>
      <c r="J60" s="8">
        <f t="shared" si="2"/>
        <v>27647.040000000001</v>
      </c>
      <c r="K60" s="8">
        <v>5574</v>
      </c>
      <c r="L60" s="8">
        <f t="shared" si="3"/>
        <v>22073.040000000001</v>
      </c>
      <c r="M60" s="9">
        <v>41671</v>
      </c>
      <c r="N60" s="10">
        <f t="shared" si="4"/>
        <v>2</v>
      </c>
      <c r="O60" s="8" t="str">
        <f t="shared" si="0"/>
        <v>February</v>
      </c>
      <c r="P60" s="7">
        <f t="shared" si="5"/>
        <v>2014</v>
      </c>
    </row>
    <row r="61" spans="1:16" ht="15.75" customHeight="1" x14ac:dyDescent="0.3">
      <c r="A61" s="11" t="s">
        <v>16</v>
      </c>
      <c r="B61" s="11" t="s">
        <v>23</v>
      </c>
      <c r="C61" s="12" t="s">
        <v>18</v>
      </c>
      <c r="D61" s="12" t="s">
        <v>33</v>
      </c>
      <c r="E61" s="11">
        <v>1210</v>
      </c>
      <c r="F61" s="12">
        <v>3</v>
      </c>
      <c r="G61" s="12">
        <v>350</v>
      </c>
      <c r="H61" s="8">
        <f t="shared" si="1"/>
        <v>427130</v>
      </c>
      <c r="I61" s="12">
        <v>4235</v>
      </c>
      <c r="J61" s="8">
        <f t="shared" si="2"/>
        <v>422895</v>
      </c>
      <c r="K61" s="12">
        <v>314600</v>
      </c>
      <c r="L61" s="8">
        <f t="shared" si="3"/>
        <v>108295</v>
      </c>
      <c r="M61" s="13">
        <v>41699</v>
      </c>
      <c r="N61" s="10">
        <f t="shared" si="4"/>
        <v>3</v>
      </c>
      <c r="O61" s="8" t="str">
        <f t="shared" si="0"/>
        <v>March</v>
      </c>
      <c r="P61" s="7">
        <f t="shared" si="5"/>
        <v>2014</v>
      </c>
    </row>
    <row r="62" spans="1:16" ht="15.75" customHeight="1" x14ac:dyDescent="0.3">
      <c r="A62" s="7" t="s">
        <v>16</v>
      </c>
      <c r="B62" s="7" t="s">
        <v>28</v>
      </c>
      <c r="C62" s="8" t="s">
        <v>18</v>
      </c>
      <c r="D62" s="8" t="s">
        <v>33</v>
      </c>
      <c r="E62" s="7">
        <v>2529</v>
      </c>
      <c r="F62" s="8">
        <v>3</v>
      </c>
      <c r="G62" s="8">
        <v>7</v>
      </c>
      <c r="H62" s="8">
        <f t="shared" si="1"/>
        <v>25290</v>
      </c>
      <c r="I62" s="8">
        <v>177.03</v>
      </c>
      <c r="J62" s="8">
        <f t="shared" si="2"/>
        <v>25112.97</v>
      </c>
      <c r="K62" s="8">
        <v>12645</v>
      </c>
      <c r="L62" s="8">
        <f t="shared" si="3"/>
        <v>12467.970000000001</v>
      </c>
      <c r="M62" s="9">
        <v>41821</v>
      </c>
      <c r="N62" s="10">
        <f t="shared" si="4"/>
        <v>7</v>
      </c>
      <c r="O62" s="8" t="str">
        <f t="shared" si="0"/>
        <v>July</v>
      </c>
      <c r="P62" s="7">
        <f t="shared" si="5"/>
        <v>2014</v>
      </c>
    </row>
    <row r="63" spans="1:16" ht="15.75" customHeight="1" x14ac:dyDescent="0.3">
      <c r="A63" s="11" t="s">
        <v>25</v>
      </c>
      <c r="B63" s="11" t="s">
        <v>17</v>
      </c>
      <c r="C63" s="12" t="s">
        <v>18</v>
      </c>
      <c r="D63" s="12" t="s">
        <v>33</v>
      </c>
      <c r="E63" s="11">
        <v>1445</v>
      </c>
      <c r="F63" s="12">
        <v>3</v>
      </c>
      <c r="G63" s="12">
        <v>12</v>
      </c>
      <c r="H63" s="8">
        <f t="shared" si="1"/>
        <v>21675</v>
      </c>
      <c r="I63" s="12">
        <v>173.4</v>
      </c>
      <c r="J63" s="8">
        <f t="shared" si="2"/>
        <v>21501.599999999999</v>
      </c>
      <c r="K63" s="12">
        <v>4335</v>
      </c>
      <c r="L63" s="8">
        <f t="shared" si="3"/>
        <v>17166.599999999999</v>
      </c>
      <c r="M63" s="13">
        <v>41883</v>
      </c>
      <c r="N63" s="10">
        <f t="shared" si="4"/>
        <v>9</v>
      </c>
      <c r="O63" s="8" t="str">
        <f t="shared" si="0"/>
        <v>September</v>
      </c>
      <c r="P63" s="7">
        <f t="shared" si="5"/>
        <v>2014</v>
      </c>
    </row>
    <row r="64" spans="1:16" ht="15.75" customHeight="1" x14ac:dyDescent="0.3">
      <c r="A64" s="7" t="s">
        <v>26</v>
      </c>
      <c r="B64" s="7" t="s">
        <v>28</v>
      </c>
      <c r="C64" s="8" t="s">
        <v>18</v>
      </c>
      <c r="D64" s="8" t="s">
        <v>33</v>
      </c>
      <c r="E64" s="7">
        <v>330</v>
      </c>
      <c r="F64" s="8">
        <v>3</v>
      </c>
      <c r="G64" s="8">
        <v>125</v>
      </c>
      <c r="H64" s="8">
        <f t="shared" si="1"/>
        <v>42240</v>
      </c>
      <c r="I64" s="8">
        <v>412.5</v>
      </c>
      <c r="J64" s="8">
        <f t="shared" si="2"/>
        <v>41827.5</v>
      </c>
      <c r="K64" s="8">
        <v>39600</v>
      </c>
      <c r="L64" s="8">
        <f t="shared" si="3"/>
        <v>2227.5</v>
      </c>
      <c r="M64" s="9">
        <v>41518</v>
      </c>
      <c r="N64" s="10">
        <f t="shared" si="4"/>
        <v>9</v>
      </c>
      <c r="O64" s="8" t="str">
        <f t="shared" si="0"/>
        <v>September</v>
      </c>
      <c r="P64" s="7">
        <f t="shared" si="5"/>
        <v>2013</v>
      </c>
    </row>
    <row r="65" spans="1:16" ht="15.75" customHeight="1" x14ac:dyDescent="0.3">
      <c r="A65" s="11" t="s">
        <v>25</v>
      </c>
      <c r="B65" s="11" t="s">
        <v>22</v>
      </c>
      <c r="C65" s="12" t="s">
        <v>18</v>
      </c>
      <c r="D65" s="12" t="s">
        <v>33</v>
      </c>
      <c r="E65" s="11">
        <v>2671</v>
      </c>
      <c r="F65" s="12">
        <v>3</v>
      </c>
      <c r="G65" s="12">
        <v>12</v>
      </c>
      <c r="H65" s="8">
        <f t="shared" si="1"/>
        <v>40065</v>
      </c>
      <c r="I65" s="12">
        <v>320.52</v>
      </c>
      <c r="J65" s="8">
        <f t="shared" si="2"/>
        <v>39744.480000000003</v>
      </c>
      <c r="K65" s="12">
        <v>8013</v>
      </c>
      <c r="L65" s="8">
        <f t="shared" si="3"/>
        <v>31731.480000000003</v>
      </c>
      <c r="M65" s="13">
        <v>41883</v>
      </c>
      <c r="N65" s="10">
        <f t="shared" si="4"/>
        <v>9</v>
      </c>
      <c r="O65" s="8" t="str">
        <f t="shared" si="0"/>
        <v>September</v>
      </c>
      <c r="P65" s="7">
        <f t="shared" si="5"/>
        <v>2014</v>
      </c>
    </row>
    <row r="66" spans="1:16" ht="15.75" customHeight="1" x14ac:dyDescent="0.3">
      <c r="A66" s="7" t="s">
        <v>25</v>
      </c>
      <c r="B66" s="7" t="s">
        <v>20</v>
      </c>
      <c r="C66" s="8" t="s">
        <v>18</v>
      </c>
      <c r="D66" s="8" t="s">
        <v>33</v>
      </c>
      <c r="E66" s="7">
        <v>766</v>
      </c>
      <c r="F66" s="8">
        <v>3</v>
      </c>
      <c r="G66" s="8">
        <v>12</v>
      </c>
      <c r="H66" s="8">
        <f t="shared" si="1"/>
        <v>11490</v>
      </c>
      <c r="I66" s="8">
        <v>91.92</v>
      </c>
      <c r="J66" s="8">
        <f t="shared" si="2"/>
        <v>11398.08</v>
      </c>
      <c r="K66" s="8">
        <v>2298</v>
      </c>
      <c r="L66" s="8">
        <f t="shared" si="3"/>
        <v>9100.08</v>
      </c>
      <c r="M66" s="9">
        <v>41548</v>
      </c>
      <c r="N66" s="10">
        <f t="shared" si="4"/>
        <v>10</v>
      </c>
      <c r="O66" s="8" t="str">
        <f t="shared" si="0"/>
        <v>October</v>
      </c>
      <c r="P66" s="7">
        <f t="shared" si="5"/>
        <v>2013</v>
      </c>
    </row>
    <row r="67" spans="1:16" ht="15.75" customHeight="1" x14ac:dyDescent="0.3">
      <c r="A67" s="11" t="s">
        <v>27</v>
      </c>
      <c r="B67" s="11" t="s">
        <v>23</v>
      </c>
      <c r="C67" s="12" t="s">
        <v>18</v>
      </c>
      <c r="D67" s="12" t="s">
        <v>33</v>
      </c>
      <c r="E67" s="11">
        <v>494</v>
      </c>
      <c r="F67" s="12">
        <v>3</v>
      </c>
      <c r="G67" s="12">
        <v>300</v>
      </c>
      <c r="H67" s="8">
        <f t="shared" ref="H67:H130" si="6">E67*(F67+G67)</f>
        <v>149682</v>
      </c>
      <c r="I67" s="12">
        <v>1482</v>
      </c>
      <c r="J67" s="8">
        <f t="shared" ref="J67:J130" si="7">H67-I67</f>
        <v>148200</v>
      </c>
      <c r="K67" s="12">
        <v>123500</v>
      </c>
      <c r="L67" s="8">
        <f t="shared" ref="L67:L130" si="8">J67-K67</f>
        <v>24700</v>
      </c>
      <c r="M67" s="13">
        <v>41548</v>
      </c>
      <c r="N67" s="10">
        <f t="shared" ref="N67:N130" si="9">MONTH(M67)</f>
        <v>10</v>
      </c>
      <c r="O67" s="8" t="str">
        <f t="shared" ref="O67:O130" si="10">TEXT(M67,"MMMM")</f>
        <v>October</v>
      </c>
      <c r="P67" s="7">
        <f t="shared" ref="P67:P130" si="11">YEAR(M67)</f>
        <v>2013</v>
      </c>
    </row>
    <row r="68" spans="1:16" ht="15.75" customHeight="1" x14ac:dyDescent="0.3">
      <c r="A68" s="7" t="s">
        <v>16</v>
      </c>
      <c r="B68" s="7" t="s">
        <v>23</v>
      </c>
      <c r="C68" s="8" t="s">
        <v>18</v>
      </c>
      <c r="D68" s="8" t="s">
        <v>33</v>
      </c>
      <c r="E68" s="7">
        <v>1397</v>
      </c>
      <c r="F68" s="8">
        <v>3</v>
      </c>
      <c r="G68" s="8">
        <v>350</v>
      </c>
      <c r="H68" s="8">
        <f t="shared" si="6"/>
        <v>493141</v>
      </c>
      <c r="I68" s="8">
        <v>4889.5</v>
      </c>
      <c r="J68" s="8">
        <f t="shared" si="7"/>
        <v>488251.5</v>
      </c>
      <c r="K68" s="8">
        <v>363220</v>
      </c>
      <c r="L68" s="8">
        <f t="shared" si="8"/>
        <v>125031.5</v>
      </c>
      <c r="M68" s="9">
        <v>41913</v>
      </c>
      <c r="N68" s="10">
        <f t="shared" si="9"/>
        <v>10</v>
      </c>
      <c r="O68" s="8" t="str">
        <f t="shared" si="10"/>
        <v>October</v>
      </c>
      <c r="P68" s="7">
        <f t="shared" si="11"/>
        <v>2014</v>
      </c>
    </row>
    <row r="69" spans="1:16" ht="15.75" customHeight="1" x14ac:dyDescent="0.3">
      <c r="A69" s="11" t="s">
        <v>16</v>
      </c>
      <c r="B69" s="11" t="s">
        <v>22</v>
      </c>
      <c r="C69" s="12" t="s">
        <v>18</v>
      </c>
      <c r="D69" s="12" t="s">
        <v>33</v>
      </c>
      <c r="E69" s="11">
        <v>2155</v>
      </c>
      <c r="F69" s="12">
        <v>3</v>
      </c>
      <c r="G69" s="12">
        <v>350</v>
      </c>
      <c r="H69" s="8">
        <f t="shared" si="6"/>
        <v>760715</v>
      </c>
      <c r="I69" s="12">
        <v>7542.5</v>
      </c>
      <c r="J69" s="8">
        <f t="shared" si="7"/>
        <v>753172.5</v>
      </c>
      <c r="K69" s="12">
        <v>560300</v>
      </c>
      <c r="L69" s="8">
        <f t="shared" si="8"/>
        <v>192872.5</v>
      </c>
      <c r="M69" s="13">
        <v>41974</v>
      </c>
      <c r="N69" s="10">
        <f t="shared" si="9"/>
        <v>12</v>
      </c>
      <c r="O69" s="8" t="str">
        <f t="shared" si="10"/>
        <v>December</v>
      </c>
      <c r="P69" s="7">
        <f t="shared" si="11"/>
        <v>2014</v>
      </c>
    </row>
    <row r="70" spans="1:16" ht="15.75" customHeight="1" x14ac:dyDescent="0.3">
      <c r="A70" s="7" t="s">
        <v>21</v>
      </c>
      <c r="B70" s="7" t="s">
        <v>23</v>
      </c>
      <c r="C70" s="8" t="s">
        <v>24</v>
      </c>
      <c r="D70" s="8" t="s">
        <v>33</v>
      </c>
      <c r="E70" s="7">
        <v>2214</v>
      </c>
      <c r="F70" s="8">
        <v>5</v>
      </c>
      <c r="G70" s="8">
        <v>15</v>
      </c>
      <c r="H70" s="8">
        <f t="shared" si="6"/>
        <v>44280</v>
      </c>
      <c r="I70" s="8">
        <v>332.1</v>
      </c>
      <c r="J70" s="8">
        <f t="shared" si="7"/>
        <v>43947.9</v>
      </c>
      <c r="K70" s="8">
        <v>22140</v>
      </c>
      <c r="L70" s="8">
        <f t="shared" si="8"/>
        <v>21807.9</v>
      </c>
      <c r="M70" s="9">
        <v>41699</v>
      </c>
      <c r="N70" s="10">
        <f t="shared" si="9"/>
        <v>3</v>
      </c>
      <c r="O70" s="8" t="str">
        <f t="shared" si="10"/>
        <v>March</v>
      </c>
      <c r="P70" s="7">
        <f t="shared" si="11"/>
        <v>2014</v>
      </c>
    </row>
    <row r="71" spans="1:16" ht="15.75" customHeight="1" x14ac:dyDescent="0.3">
      <c r="A71" s="11" t="s">
        <v>27</v>
      </c>
      <c r="B71" s="11" t="s">
        <v>28</v>
      </c>
      <c r="C71" s="12" t="s">
        <v>24</v>
      </c>
      <c r="D71" s="12" t="s">
        <v>33</v>
      </c>
      <c r="E71" s="11">
        <v>2301</v>
      </c>
      <c r="F71" s="12">
        <v>5</v>
      </c>
      <c r="G71" s="12">
        <v>300</v>
      </c>
      <c r="H71" s="8">
        <f t="shared" si="6"/>
        <v>701805</v>
      </c>
      <c r="I71" s="12">
        <v>6903</v>
      </c>
      <c r="J71" s="8">
        <f t="shared" si="7"/>
        <v>694902</v>
      </c>
      <c r="K71" s="12">
        <v>575250</v>
      </c>
      <c r="L71" s="8">
        <f t="shared" si="8"/>
        <v>119652</v>
      </c>
      <c r="M71" s="13">
        <v>41730</v>
      </c>
      <c r="N71" s="10">
        <f t="shared" si="9"/>
        <v>4</v>
      </c>
      <c r="O71" s="8" t="str">
        <f t="shared" si="10"/>
        <v>April</v>
      </c>
      <c r="P71" s="7">
        <f t="shared" si="11"/>
        <v>2014</v>
      </c>
    </row>
    <row r="72" spans="1:16" ht="15.75" customHeight="1" x14ac:dyDescent="0.3">
      <c r="A72" s="7" t="s">
        <v>16</v>
      </c>
      <c r="B72" s="7" t="s">
        <v>22</v>
      </c>
      <c r="C72" s="8" t="s">
        <v>24</v>
      </c>
      <c r="D72" s="8" t="s">
        <v>33</v>
      </c>
      <c r="E72" s="7">
        <v>1375.5</v>
      </c>
      <c r="F72" s="8">
        <v>5</v>
      </c>
      <c r="G72" s="8">
        <v>20</v>
      </c>
      <c r="H72" s="8">
        <f t="shared" si="6"/>
        <v>34387.5</v>
      </c>
      <c r="I72" s="8">
        <v>275.10000000000002</v>
      </c>
      <c r="J72" s="8">
        <f t="shared" si="7"/>
        <v>34112.400000000001</v>
      </c>
      <c r="K72" s="8">
        <v>13755</v>
      </c>
      <c r="L72" s="8">
        <f t="shared" si="8"/>
        <v>20357.400000000001</v>
      </c>
      <c r="M72" s="9">
        <v>41821</v>
      </c>
      <c r="N72" s="10">
        <f t="shared" si="9"/>
        <v>7</v>
      </c>
      <c r="O72" s="8" t="str">
        <f t="shared" si="10"/>
        <v>July</v>
      </c>
      <c r="P72" s="7">
        <f t="shared" si="11"/>
        <v>2014</v>
      </c>
    </row>
    <row r="73" spans="1:16" ht="15.75" customHeight="1" x14ac:dyDescent="0.3">
      <c r="A73" s="11" t="s">
        <v>16</v>
      </c>
      <c r="B73" s="11" t="s">
        <v>17</v>
      </c>
      <c r="C73" s="12" t="s">
        <v>24</v>
      </c>
      <c r="D73" s="12" t="s">
        <v>33</v>
      </c>
      <c r="E73" s="11">
        <v>1830</v>
      </c>
      <c r="F73" s="12">
        <v>5</v>
      </c>
      <c r="G73" s="12">
        <v>7</v>
      </c>
      <c r="H73" s="8">
        <f t="shared" si="6"/>
        <v>21960</v>
      </c>
      <c r="I73" s="12">
        <v>128.1</v>
      </c>
      <c r="J73" s="8">
        <f t="shared" si="7"/>
        <v>21831.9</v>
      </c>
      <c r="K73" s="12">
        <v>9150</v>
      </c>
      <c r="L73" s="8">
        <f t="shared" si="8"/>
        <v>12681.900000000001</v>
      </c>
      <c r="M73" s="13">
        <v>41852</v>
      </c>
      <c r="N73" s="10">
        <f t="shared" si="9"/>
        <v>8</v>
      </c>
      <c r="O73" s="8" t="str">
        <f t="shared" si="10"/>
        <v>August</v>
      </c>
      <c r="P73" s="7">
        <f t="shared" si="11"/>
        <v>2014</v>
      </c>
    </row>
    <row r="74" spans="1:16" ht="15.75" customHeight="1" x14ac:dyDescent="0.3">
      <c r="A74" s="7" t="s">
        <v>27</v>
      </c>
      <c r="B74" s="7" t="s">
        <v>28</v>
      </c>
      <c r="C74" s="8" t="s">
        <v>24</v>
      </c>
      <c r="D74" s="8" t="s">
        <v>33</v>
      </c>
      <c r="E74" s="7">
        <v>2498</v>
      </c>
      <c r="F74" s="8">
        <v>5</v>
      </c>
      <c r="G74" s="8">
        <v>300</v>
      </c>
      <c r="H74" s="8">
        <f t="shared" si="6"/>
        <v>761890</v>
      </c>
      <c r="I74" s="8">
        <v>7494</v>
      </c>
      <c r="J74" s="8">
        <f t="shared" si="7"/>
        <v>754396</v>
      </c>
      <c r="K74" s="8">
        <v>624500</v>
      </c>
      <c r="L74" s="8">
        <f t="shared" si="8"/>
        <v>129896</v>
      </c>
      <c r="M74" s="9">
        <v>41518</v>
      </c>
      <c r="N74" s="10">
        <f t="shared" si="9"/>
        <v>9</v>
      </c>
      <c r="O74" s="8" t="str">
        <f t="shared" si="10"/>
        <v>September</v>
      </c>
      <c r="P74" s="7">
        <f t="shared" si="11"/>
        <v>2013</v>
      </c>
    </row>
    <row r="75" spans="1:16" ht="15.75" customHeight="1" x14ac:dyDescent="0.3">
      <c r="A75" s="11" t="s">
        <v>26</v>
      </c>
      <c r="B75" s="11" t="s">
        <v>28</v>
      </c>
      <c r="C75" s="12" t="s">
        <v>24</v>
      </c>
      <c r="D75" s="12" t="s">
        <v>33</v>
      </c>
      <c r="E75" s="11">
        <v>663</v>
      </c>
      <c r="F75" s="12">
        <v>5</v>
      </c>
      <c r="G75" s="12">
        <v>125</v>
      </c>
      <c r="H75" s="8">
        <f t="shared" si="6"/>
        <v>86190</v>
      </c>
      <c r="I75" s="12">
        <v>828.75</v>
      </c>
      <c r="J75" s="8">
        <f t="shared" si="7"/>
        <v>85361.25</v>
      </c>
      <c r="K75" s="12">
        <v>79560</v>
      </c>
      <c r="L75" s="8">
        <f t="shared" si="8"/>
        <v>5801.25</v>
      </c>
      <c r="M75" s="13">
        <v>41548</v>
      </c>
      <c r="N75" s="10">
        <f t="shared" si="9"/>
        <v>10</v>
      </c>
      <c r="O75" s="8" t="str">
        <f t="shared" si="10"/>
        <v>October</v>
      </c>
      <c r="P75" s="7">
        <f t="shared" si="11"/>
        <v>2013</v>
      </c>
    </row>
    <row r="76" spans="1:16" ht="15.75" customHeight="1" x14ac:dyDescent="0.3">
      <c r="A76" s="7" t="s">
        <v>21</v>
      </c>
      <c r="B76" s="7" t="s">
        <v>28</v>
      </c>
      <c r="C76" s="8" t="s">
        <v>29</v>
      </c>
      <c r="D76" s="8" t="s">
        <v>33</v>
      </c>
      <c r="E76" s="7">
        <v>1514</v>
      </c>
      <c r="F76" s="8">
        <v>10</v>
      </c>
      <c r="G76" s="8">
        <v>15</v>
      </c>
      <c r="H76" s="8">
        <f t="shared" si="6"/>
        <v>37850</v>
      </c>
      <c r="I76" s="8">
        <v>227.1</v>
      </c>
      <c r="J76" s="8">
        <f t="shared" si="7"/>
        <v>37622.9</v>
      </c>
      <c r="K76" s="8">
        <v>15140</v>
      </c>
      <c r="L76" s="8">
        <f t="shared" si="8"/>
        <v>22482.9</v>
      </c>
      <c r="M76" s="9">
        <v>41671</v>
      </c>
      <c r="N76" s="10">
        <f t="shared" si="9"/>
        <v>2</v>
      </c>
      <c r="O76" s="8" t="str">
        <f t="shared" si="10"/>
        <v>February</v>
      </c>
      <c r="P76" s="7">
        <f t="shared" si="11"/>
        <v>2014</v>
      </c>
    </row>
    <row r="77" spans="1:16" ht="15.75" customHeight="1" x14ac:dyDescent="0.3">
      <c r="A77" s="11" t="s">
        <v>16</v>
      </c>
      <c r="B77" s="11" t="s">
        <v>28</v>
      </c>
      <c r="C77" s="12" t="s">
        <v>29</v>
      </c>
      <c r="D77" s="12" t="s">
        <v>33</v>
      </c>
      <c r="E77" s="11">
        <v>4492.5</v>
      </c>
      <c r="F77" s="12">
        <v>10</v>
      </c>
      <c r="G77" s="12">
        <v>7</v>
      </c>
      <c r="H77" s="8">
        <f t="shared" si="6"/>
        <v>76372.5</v>
      </c>
      <c r="I77" s="12">
        <v>314.47500000000002</v>
      </c>
      <c r="J77" s="8">
        <f t="shared" si="7"/>
        <v>76058.024999999994</v>
      </c>
      <c r="K77" s="12">
        <v>22462.5</v>
      </c>
      <c r="L77" s="8">
        <f t="shared" si="8"/>
        <v>53595.524999999994</v>
      </c>
      <c r="M77" s="13">
        <v>41730</v>
      </c>
      <c r="N77" s="10">
        <f t="shared" si="9"/>
        <v>4</v>
      </c>
      <c r="O77" s="8" t="str">
        <f t="shared" si="10"/>
        <v>April</v>
      </c>
      <c r="P77" s="7">
        <f t="shared" si="11"/>
        <v>2014</v>
      </c>
    </row>
    <row r="78" spans="1:16" ht="15.75" customHeight="1" x14ac:dyDescent="0.3">
      <c r="A78" s="7" t="s">
        <v>26</v>
      </c>
      <c r="B78" s="7" t="s">
        <v>28</v>
      </c>
      <c r="C78" s="8" t="s">
        <v>29</v>
      </c>
      <c r="D78" s="8" t="s">
        <v>33</v>
      </c>
      <c r="E78" s="7">
        <v>727</v>
      </c>
      <c r="F78" s="8">
        <v>10</v>
      </c>
      <c r="G78" s="8">
        <v>125</v>
      </c>
      <c r="H78" s="8">
        <f t="shared" si="6"/>
        <v>98145</v>
      </c>
      <c r="I78" s="8">
        <v>908.75</v>
      </c>
      <c r="J78" s="8">
        <f t="shared" si="7"/>
        <v>97236.25</v>
      </c>
      <c r="K78" s="8">
        <v>87240</v>
      </c>
      <c r="L78" s="8">
        <f t="shared" si="8"/>
        <v>9996.25</v>
      </c>
      <c r="M78" s="9">
        <v>41791</v>
      </c>
      <c r="N78" s="10">
        <f t="shared" si="9"/>
        <v>6</v>
      </c>
      <c r="O78" s="8" t="str">
        <f t="shared" si="10"/>
        <v>June</v>
      </c>
      <c r="P78" s="7">
        <f t="shared" si="11"/>
        <v>2014</v>
      </c>
    </row>
    <row r="79" spans="1:16" ht="15.75" customHeight="1" x14ac:dyDescent="0.3">
      <c r="A79" s="11" t="s">
        <v>26</v>
      </c>
      <c r="B79" s="11" t="s">
        <v>22</v>
      </c>
      <c r="C79" s="12" t="s">
        <v>29</v>
      </c>
      <c r="D79" s="12" t="s">
        <v>33</v>
      </c>
      <c r="E79" s="11">
        <v>787</v>
      </c>
      <c r="F79" s="12">
        <v>10</v>
      </c>
      <c r="G79" s="12">
        <v>125</v>
      </c>
      <c r="H79" s="8">
        <f t="shared" si="6"/>
        <v>106245</v>
      </c>
      <c r="I79" s="12">
        <v>983.75</v>
      </c>
      <c r="J79" s="8">
        <f t="shared" si="7"/>
        <v>105261.25</v>
      </c>
      <c r="K79" s="12">
        <v>94440</v>
      </c>
      <c r="L79" s="8">
        <f t="shared" si="8"/>
        <v>10821.25</v>
      </c>
      <c r="M79" s="13">
        <v>41791</v>
      </c>
      <c r="N79" s="10">
        <f t="shared" si="9"/>
        <v>6</v>
      </c>
      <c r="O79" s="8" t="str">
        <f t="shared" si="10"/>
        <v>June</v>
      </c>
      <c r="P79" s="7">
        <f t="shared" si="11"/>
        <v>2014</v>
      </c>
    </row>
    <row r="80" spans="1:16" ht="15.75" customHeight="1" x14ac:dyDescent="0.3">
      <c r="A80" s="7" t="s">
        <v>26</v>
      </c>
      <c r="B80" s="7" t="s">
        <v>23</v>
      </c>
      <c r="C80" s="8" t="s">
        <v>29</v>
      </c>
      <c r="D80" s="8" t="s">
        <v>33</v>
      </c>
      <c r="E80" s="7">
        <v>1823</v>
      </c>
      <c r="F80" s="8">
        <v>10</v>
      </c>
      <c r="G80" s="8">
        <v>125</v>
      </c>
      <c r="H80" s="8">
        <f t="shared" si="6"/>
        <v>246105</v>
      </c>
      <c r="I80" s="8">
        <v>2278.75</v>
      </c>
      <c r="J80" s="8">
        <f t="shared" si="7"/>
        <v>243826.25</v>
      </c>
      <c r="K80" s="8">
        <v>218760</v>
      </c>
      <c r="L80" s="8">
        <f t="shared" si="8"/>
        <v>25066.25</v>
      </c>
      <c r="M80" s="9">
        <v>41821</v>
      </c>
      <c r="N80" s="10">
        <f t="shared" si="9"/>
        <v>7</v>
      </c>
      <c r="O80" s="8" t="str">
        <f t="shared" si="10"/>
        <v>July</v>
      </c>
      <c r="P80" s="7">
        <f t="shared" si="11"/>
        <v>2014</v>
      </c>
    </row>
    <row r="81" spans="1:16" ht="15.75" customHeight="1" x14ac:dyDescent="0.3">
      <c r="A81" s="11" t="s">
        <v>21</v>
      </c>
      <c r="B81" s="11" t="s">
        <v>20</v>
      </c>
      <c r="C81" s="12" t="s">
        <v>29</v>
      </c>
      <c r="D81" s="12" t="s">
        <v>33</v>
      </c>
      <c r="E81" s="11">
        <v>747</v>
      </c>
      <c r="F81" s="12">
        <v>10</v>
      </c>
      <c r="G81" s="12">
        <v>15</v>
      </c>
      <c r="H81" s="8">
        <f t="shared" si="6"/>
        <v>18675</v>
      </c>
      <c r="I81" s="12">
        <v>112.05</v>
      </c>
      <c r="J81" s="8">
        <f t="shared" si="7"/>
        <v>18562.95</v>
      </c>
      <c r="K81" s="12">
        <v>7470</v>
      </c>
      <c r="L81" s="8">
        <f t="shared" si="8"/>
        <v>11092.95</v>
      </c>
      <c r="M81" s="13">
        <v>41883</v>
      </c>
      <c r="N81" s="10">
        <f t="shared" si="9"/>
        <v>9</v>
      </c>
      <c r="O81" s="8" t="str">
        <f t="shared" si="10"/>
        <v>September</v>
      </c>
      <c r="P81" s="7">
        <f t="shared" si="11"/>
        <v>2014</v>
      </c>
    </row>
    <row r="82" spans="1:16" ht="15.75" customHeight="1" x14ac:dyDescent="0.3">
      <c r="A82" s="7" t="s">
        <v>25</v>
      </c>
      <c r="B82" s="7" t="s">
        <v>20</v>
      </c>
      <c r="C82" s="8" t="s">
        <v>29</v>
      </c>
      <c r="D82" s="8" t="s">
        <v>33</v>
      </c>
      <c r="E82" s="7">
        <v>766</v>
      </c>
      <c r="F82" s="8">
        <v>10</v>
      </c>
      <c r="G82" s="8">
        <v>12</v>
      </c>
      <c r="H82" s="8">
        <f t="shared" si="6"/>
        <v>16852</v>
      </c>
      <c r="I82" s="8">
        <v>91.92</v>
      </c>
      <c r="J82" s="8">
        <f t="shared" si="7"/>
        <v>16760.080000000002</v>
      </c>
      <c r="K82" s="8">
        <v>2298</v>
      </c>
      <c r="L82" s="8">
        <f t="shared" si="8"/>
        <v>14462.080000000002</v>
      </c>
      <c r="M82" s="9">
        <v>41548</v>
      </c>
      <c r="N82" s="10">
        <f t="shared" si="9"/>
        <v>10</v>
      </c>
      <c r="O82" s="8" t="str">
        <f t="shared" si="10"/>
        <v>October</v>
      </c>
      <c r="P82" s="7">
        <f t="shared" si="11"/>
        <v>2013</v>
      </c>
    </row>
    <row r="83" spans="1:16" ht="15.75" customHeight="1" x14ac:dyDescent="0.3">
      <c r="A83" s="11" t="s">
        <v>27</v>
      </c>
      <c r="B83" s="11" t="s">
        <v>28</v>
      </c>
      <c r="C83" s="12" t="s">
        <v>29</v>
      </c>
      <c r="D83" s="12" t="s">
        <v>33</v>
      </c>
      <c r="E83" s="11">
        <v>2905</v>
      </c>
      <c r="F83" s="12">
        <v>10</v>
      </c>
      <c r="G83" s="12">
        <v>300</v>
      </c>
      <c r="H83" s="8">
        <f t="shared" si="6"/>
        <v>900550</v>
      </c>
      <c r="I83" s="12">
        <v>8715</v>
      </c>
      <c r="J83" s="8">
        <f t="shared" si="7"/>
        <v>891835</v>
      </c>
      <c r="K83" s="12">
        <v>726250</v>
      </c>
      <c r="L83" s="8">
        <f t="shared" si="8"/>
        <v>165585</v>
      </c>
      <c r="M83" s="13">
        <v>41944</v>
      </c>
      <c r="N83" s="10">
        <f t="shared" si="9"/>
        <v>11</v>
      </c>
      <c r="O83" s="8" t="str">
        <f t="shared" si="10"/>
        <v>November</v>
      </c>
      <c r="P83" s="7">
        <f t="shared" si="11"/>
        <v>2014</v>
      </c>
    </row>
    <row r="84" spans="1:16" ht="15.75" customHeight="1" x14ac:dyDescent="0.3">
      <c r="A84" s="7" t="s">
        <v>16</v>
      </c>
      <c r="B84" s="7" t="s">
        <v>22</v>
      </c>
      <c r="C84" s="8" t="s">
        <v>29</v>
      </c>
      <c r="D84" s="8" t="s">
        <v>33</v>
      </c>
      <c r="E84" s="7">
        <v>2155</v>
      </c>
      <c r="F84" s="8">
        <v>10</v>
      </c>
      <c r="G84" s="8">
        <v>350</v>
      </c>
      <c r="H84" s="8">
        <f t="shared" si="6"/>
        <v>775800</v>
      </c>
      <c r="I84" s="8">
        <v>7542.5</v>
      </c>
      <c r="J84" s="8">
        <f t="shared" si="7"/>
        <v>768257.5</v>
      </c>
      <c r="K84" s="8">
        <v>560300</v>
      </c>
      <c r="L84" s="8">
        <f t="shared" si="8"/>
        <v>207957.5</v>
      </c>
      <c r="M84" s="9">
        <v>41974</v>
      </c>
      <c r="N84" s="10">
        <f t="shared" si="9"/>
        <v>12</v>
      </c>
      <c r="O84" s="8" t="str">
        <f t="shared" si="10"/>
        <v>December</v>
      </c>
      <c r="P84" s="7">
        <f t="shared" si="11"/>
        <v>2014</v>
      </c>
    </row>
    <row r="85" spans="1:16" ht="15.75" customHeight="1" x14ac:dyDescent="0.3">
      <c r="A85" s="11" t="s">
        <v>16</v>
      </c>
      <c r="B85" s="11" t="s">
        <v>22</v>
      </c>
      <c r="C85" s="12" t="s">
        <v>30</v>
      </c>
      <c r="D85" s="12" t="s">
        <v>33</v>
      </c>
      <c r="E85" s="11">
        <v>3864</v>
      </c>
      <c r="F85" s="12">
        <v>120</v>
      </c>
      <c r="G85" s="12">
        <v>20</v>
      </c>
      <c r="H85" s="8">
        <f t="shared" si="6"/>
        <v>540960</v>
      </c>
      <c r="I85" s="12">
        <v>772.80000000000007</v>
      </c>
      <c r="J85" s="8">
        <f t="shared" si="7"/>
        <v>540187.19999999995</v>
      </c>
      <c r="K85" s="12">
        <v>38640</v>
      </c>
      <c r="L85" s="8">
        <f t="shared" si="8"/>
        <v>501547.19999999995</v>
      </c>
      <c r="M85" s="13">
        <v>41730</v>
      </c>
      <c r="N85" s="10">
        <f t="shared" si="9"/>
        <v>4</v>
      </c>
      <c r="O85" s="8" t="str">
        <f t="shared" si="10"/>
        <v>April</v>
      </c>
      <c r="P85" s="7">
        <f t="shared" si="11"/>
        <v>2014</v>
      </c>
    </row>
    <row r="86" spans="1:16" ht="15.75" customHeight="1" x14ac:dyDescent="0.3">
      <c r="A86" s="7" t="s">
        <v>16</v>
      </c>
      <c r="B86" s="7" t="s">
        <v>23</v>
      </c>
      <c r="C86" s="8" t="s">
        <v>30</v>
      </c>
      <c r="D86" s="8" t="s">
        <v>33</v>
      </c>
      <c r="E86" s="7">
        <v>362</v>
      </c>
      <c r="F86" s="8">
        <v>120</v>
      </c>
      <c r="G86" s="8">
        <v>7</v>
      </c>
      <c r="H86" s="8">
        <f t="shared" si="6"/>
        <v>45974</v>
      </c>
      <c r="I86" s="8">
        <v>25.34</v>
      </c>
      <c r="J86" s="8">
        <f t="shared" si="7"/>
        <v>45948.66</v>
      </c>
      <c r="K86" s="8">
        <v>1810</v>
      </c>
      <c r="L86" s="8">
        <f t="shared" si="8"/>
        <v>44138.66</v>
      </c>
      <c r="M86" s="9">
        <v>41760</v>
      </c>
      <c r="N86" s="10">
        <f t="shared" si="9"/>
        <v>5</v>
      </c>
      <c r="O86" s="8" t="str">
        <f t="shared" si="10"/>
        <v>May</v>
      </c>
      <c r="P86" s="7">
        <f t="shared" si="11"/>
        <v>2014</v>
      </c>
    </row>
    <row r="87" spans="1:16" ht="15.75" customHeight="1" x14ac:dyDescent="0.3">
      <c r="A87" s="11" t="s">
        <v>26</v>
      </c>
      <c r="B87" s="11" t="s">
        <v>17</v>
      </c>
      <c r="C87" s="12" t="s">
        <v>30</v>
      </c>
      <c r="D87" s="12" t="s">
        <v>33</v>
      </c>
      <c r="E87" s="11">
        <v>923</v>
      </c>
      <c r="F87" s="12">
        <v>120</v>
      </c>
      <c r="G87" s="12">
        <v>125</v>
      </c>
      <c r="H87" s="8">
        <f t="shared" si="6"/>
        <v>226135</v>
      </c>
      <c r="I87" s="12">
        <v>1153.75</v>
      </c>
      <c r="J87" s="8">
        <f t="shared" si="7"/>
        <v>224981.25</v>
      </c>
      <c r="K87" s="12">
        <v>110760</v>
      </c>
      <c r="L87" s="8">
        <f t="shared" si="8"/>
        <v>114221.25</v>
      </c>
      <c r="M87" s="13">
        <v>41852</v>
      </c>
      <c r="N87" s="10">
        <f t="shared" si="9"/>
        <v>8</v>
      </c>
      <c r="O87" s="8" t="str">
        <f t="shared" si="10"/>
        <v>August</v>
      </c>
      <c r="P87" s="7">
        <f t="shared" si="11"/>
        <v>2014</v>
      </c>
    </row>
    <row r="88" spans="1:16" ht="15.75" customHeight="1" x14ac:dyDescent="0.3">
      <c r="A88" s="7" t="s">
        <v>26</v>
      </c>
      <c r="B88" s="7" t="s">
        <v>28</v>
      </c>
      <c r="C88" s="8" t="s">
        <v>30</v>
      </c>
      <c r="D88" s="8" t="s">
        <v>33</v>
      </c>
      <c r="E88" s="7">
        <v>663</v>
      </c>
      <c r="F88" s="8">
        <v>120</v>
      </c>
      <c r="G88" s="8">
        <v>125</v>
      </c>
      <c r="H88" s="8">
        <f t="shared" si="6"/>
        <v>162435</v>
      </c>
      <c r="I88" s="8">
        <v>828.75</v>
      </c>
      <c r="J88" s="8">
        <f t="shared" si="7"/>
        <v>161606.25</v>
      </c>
      <c r="K88" s="8">
        <v>79560</v>
      </c>
      <c r="L88" s="8">
        <f t="shared" si="8"/>
        <v>82046.25</v>
      </c>
      <c r="M88" s="9">
        <v>41548</v>
      </c>
      <c r="N88" s="10">
        <f t="shared" si="9"/>
        <v>10</v>
      </c>
      <c r="O88" s="8" t="str">
        <f t="shared" si="10"/>
        <v>October</v>
      </c>
      <c r="P88" s="7">
        <f t="shared" si="11"/>
        <v>2013</v>
      </c>
    </row>
    <row r="89" spans="1:16" ht="15.75" customHeight="1" x14ac:dyDescent="0.3">
      <c r="A89" s="11" t="s">
        <v>16</v>
      </c>
      <c r="B89" s="11" t="s">
        <v>17</v>
      </c>
      <c r="C89" s="12" t="s">
        <v>30</v>
      </c>
      <c r="D89" s="12" t="s">
        <v>33</v>
      </c>
      <c r="E89" s="11">
        <v>2092</v>
      </c>
      <c r="F89" s="12">
        <v>120</v>
      </c>
      <c r="G89" s="12">
        <v>7</v>
      </c>
      <c r="H89" s="8">
        <f t="shared" si="6"/>
        <v>265684</v>
      </c>
      <c r="I89" s="12">
        <v>146.44</v>
      </c>
      <c r="J89" s="8">
        <f t="shared" si="7"/>
        <v>265537.56</v>
      </c>
      <c r="K89" s="12">
        <v>10460</v>
      </c>
      <c r="L89" s="8">
        <f t="shared" si="8"/>
        <v>255077.56</v>
      </c>
      <c r="M89" s="13">
        <v>41579</v>
      </c>
      <c r="N89" s="10">
        <f t="shared" si="9"/>
        <v>11</v>
      </c>
      <c r="O89" s="8" t="str">
        <f t="shared" si="10"/>
        <v>November</v>
      </c>
      <c r="P89" s="7">
        <f t="shared" si="11"/>
        <v>2013</v>
      </c>
    </row>
    <row r="90" spans="1:16" ht="15.75" customHeight="1" x14ac:dyDescent="0.3">
      <c r="A90" s="7" t="s">
        <v>16</v>
      </c>
      <c r="B90" s="7" t="s">
        <v>20</v>
      </c>
      <c r="C90" s="8" t="s">
        <v>31</v>
      </c>
      <c r="D90" s="8" t="s">
        <v>33</v>
      </c>
      <c r="E90" s="7">
        <v>263</v>
      </c>
      <c r="F90" s="8">
        <v>250</v>
      </c>
      <c r="G90" s="8">
        <v>7</v>
      </c>
      <c r="H90" s="8">
        <f t="shared" si="6"/>
        <v>67591</v>
      </c>
      <c r="I90" s="8">
        <v>18.41</v>
      </c>
      <c r="J90" s="8">
        <f t="shared" si="7"/>
        <v>67572.59</v>
      </c>
      <c r="K90" s="8">
        <v>1315</v>
      </c>
      <c r="L90" s="8">
        <f t="shared" si="8"/>
        <v>66257.59</v>
      </c>
      <c r="M90" s="9">
        <v>41699</v>
      </c>
      <c r="N90" s="10">
        <f t="shared" si="9"/>
        <v>3</v>
      </c>
      <c r="O90" s="8" t="str">
        <f t="shared" si="10"/>
        <v>March</v>
      </c>
      <c r="P90" s="7">
        <f t="shared" si="11"/>
        <v>2014</v>
      </c>
    </row>
    <row r="91" spans="1:16" ht="15.75" customHeight="1" x14ac:dyDescent="0.3">
      <c r="A91" s="11" t="s">
        <v>16</v>
      </c>
      <c r="B91" s="11" t="s">
        <v>17</v>
      </c>
      <c r="C91" s="12" t="s">
        <v>31</v>
      </c>
      <c r="D91" s="12" t="s">
        <v>33</v>
      </c>
      <c r="E91" s="11">
        <v>943.5</v>
      </c>
      <c r="F91" s="12">
        <v>250</v>
      </c>
      <c r="G91" s="12">
        <v>350</v>
      </c>
      <c r="H91" s="8">
        <f t="shared" si="6"/>
        <v>566100</v>
      </c>
      <c r="I91" s="12">
        <v>3302.25</v>
      </c>
      <c r="J91" s="8">
        <f t="shared" si="7"/>
        <v>562797.75</v>
      </c>
      <c r="K91" s="12">
        <v>245310</v>
      </c>
      <c r="L91" s="8">
        <f t="shared" si="8"/>
        <v>317487.75</v>
      </c>
      <c r="M91" s="13">
        <v>41730</v>
      </c>
      <c r="N91" s="10">
        <f t="shared" si="9"/>
        <v>4</v>
      </c>
      <c r="O91" s="8" t="str">
        <f t="shared" si="10"/>
        <v>April</v>
      </c>
      <c r="P91" s="7">
        <f t="shared" si="11"/>
        <v>2014</v>
      </c>
    </row>
    <row r="92" spans="1:16" ht="15.75" customHeight="1" x14ac:dyDescent="0.3">
      <c r="A92" s="7" t="s">
        <v>26</v>
      </c>
      <c r="B92" s="7" t="s">
        <v>28</v>
      </c>
      <c r="C92" s="8" t="s">
        <v>31</v>
      </c>
      <c r="D92" s="8" t="s">
        <v>33</v>
      </c>
      <c r="E92" s="7">
        <v>727</v>
      </c>
      <c r="F92" s="8">
        <v>250</v>
      </c>
      <c r="G92" s="8">
        <v>125</v>
      </c>
      <c r="H92" s="8">
        <f t="shared" si="6"/>
        <v>272625</v>
      </c>
      <c r="I92" s="8">
        <v>908.75</v>
      </c>
      <c r="J92" s="8">
        <f t="shared" si="7"/>
        <v>271716.25</v>
      </c>
      <c r="K92" s="8">
        <v>87240</v>
      </c>
      <c r="L92" s="8">
        <f t="shared" si="8"/>
        <v>184476.25</v>
      </c>
      <c r="M92" s="9">
        <v>41791</v>
      </c>
      <c r="N92" s="10">
        <f t="shared" si="9"/>
        <v>6</v>
      </c>
      <c r="O92" s="8" t="str">
        <f t="shared" si="10"/>
        <v>June</v>
      </c>
      <c r="P92" s="7">
        <f t="shared" si="11"/>
        <v>2014</v>
      </c>
    </row>
    <row r="93" spans="1:16" ht="15.75" customHeight="1" x14ac:dyDescent="0.3">
      <c r="A93" s="11" t="s">
        <v>26</v>
      </c>
      <c r="B93" s="11" t="s">
        <v>22</v>
      </c>
      <c r="C93" s="12" t="s">
        <v>31</v>
      </c>
      <c r="D93" s="12" t="s">
        <v>33</v>
      </c>
      <c r="E93" s="11">
        <v>787</v>
      </c>
      <c r="F93" s="12">
        <v>250</v>
      </c>
      <c r="G93" s="12">
        <v>125</v>
      </c>
      <c r="H93" s="8">
        <f t="shared" si="6"/>
        <v>295125</v>
      </c>
      <c r="I93" s="12">
        <v>983.75</v>
      </c>
      <c r="J93" s="8">
        <f t="shared" si="7"/>
        <v>294141.25</v>
      </c>
      <c r="K93" s="12">
        <v>94440</v>
      </c>
      <c r="L93" s="8">
        <f t="shared" si="8"/>
        <v>199701.25</v>
      </c>
      <c r="M93" s="13">
        <v>41791</v>
      </c>
      <c r="N93" s="10">
        <f t="shared" si="9"/>
        <v>6</v>
      </c>
      <c r="O93" s="8" t="str">
        <f t="shared" si="10"/>
        <v>June</v>
      </c>
      <c r="P93" s="7">
        <f t="shared" si="11"/>
        <v>2014</v>
      </c>
    </row>
    <row r="94" spans="1:16" ht="15.75" customHeight="1" x14ac:dyDescent="0.3">
      <c r="A94" s="7" t="s">
        <v>27</v>
      </c>
      <c r="B94" s="7" t="s">
        <v>20</v>
      </c>
      <c r="C94" s="8" t="s">
        <v>31</v>
      </c>
      <c r="D94" s="8" t="s">
        <v>33</v>
      </c>
      <c r="E94" s="7">
        <v>986</v>
      </c>
      <c r="F94" s="8">
        <v>250</v>
      </c>
      <c r="G94" s="8">
        <v>300</v>
      </c>
      <c r="H94" s="8">
        <f t="shared" si="6"/>
        <v>542300</v>
      </c>
      <c r="I94" s="8">
        <v>2958</v>
      </c>
      <c r="J94" s="8">
        <f t="shared" si="7"/>
        <v>539342</v>
      </c>
      <c r="K94" s="8">
        <v>246500</v>
      </c>
      <c r="L94" s="8">
        <f t="shared" si="8"/>
        <v>292842</v>
      </c>
      <c r="M94" s="9">
        <v>41883</v>
      </c>
      <c r="N94" s="10">
        <f t="shared" si="9"/>
        <v>9</v>
      </c>
      <c r="O94" s="8" t="str">
        <f t="shared" si="10"/>
        <v>September</v>
      </c>
      <c r="P94" s="7">
        <f t="shared" si="11"/>
        <v>2014</v>
      </c>
    </row>
    <row r="95" spans="1:16" ht="15.75" customHeight="1" x14ac:dyDescent="0.3">
      <c r="A95" s="11" t="s">
        <v>27</v>
      </c>
      <c r="B95" s="11" t="s">
        <v>23</v>
      </c>
      <c r="C95" s="12" t="s">
        <v>31</v>
      </c>
      <c r="D95" s="12" t="s">
        <v>33</v>
      </c>
      <c r="E95" s="11">
        <v>494</v>
      </c>
      <c r="F95" s="12">
        <v>250</v>
      </c>
      <c r="G95" s="12">
        <v>300</v>
      </c>
      <c r="H95" s="8">
        <f t="shared" si="6"/>
        <v>271700</v>
      </c>
      <c r="I95" s="12">
        <v>1482</v>
      </c>
      <c r="J95" s="8">
        <f t="shared" si="7"/>
        <v>270218</v>
      </c>
      <c r="K95" s="12">
        <v>123500</v>
      </c>
      <c r="L95" s="8">
        <f t="shared" si="8"/>
        <v>146718</v>
      </c>
      <c r="M95" s="13">
        <v>41548</v>
      </c>
      <c r="N95" s="10">
        <f t="shared" si="9"/>
        <v>10</v>
      </c>
      <c r="O95" s="8" t="str">
        <f t="shared" si="10"/>
        <v>October</v>
      </c>
      <c r="P95" s="7">
        <f t="shared" si="11"/>
        <v>2013</v>
      </c>
    </row>
    <row r="96" spans="1:16" ht="15.75" customHeight="1" x14ac:dyDescent="0.3">
      <c r="A96" s="7" t="s">
        <v>16</v>
      </c>
      <c r="B96" s="7" t="s">
        <v>23</v>
      </c>
      <c r="C96" s="8" t="s">
        <v>31</v>
      </c>
      <c r="D96" s="8" t="s">
        <v>33</v>
      </c>
      <c r="E96" s="7">
        <v>1397</v>
      </c>
      <c r="F96" s="8">
        <v>250</v>
      </c>
      <c r="G96" s="8">
        <v>350</v>
      </c>
      <c r="H96" s="8">
        <f t="shared" si="6"/>
        <v>838200</v>
      </c>
      <c r="I96" s="8">
        <v>4889.5</v>
      </c>
      <c r="J96" s="8">
        <f t="shared" si="7"/>
        <v>833310.5</v>
      </c>
      <c r="K96" s="8">
        <v>363220</v>
      </c>
      <c r="L96" s="8">
        <f t="shared" si="8"/>
        <v>470090.5</v>
      </c>
      <c r="M96" s="9">
        <v>41913</v>
      </c>
      <c r="N96" s="10">
        <f t="shared" si="9"/>
        <v>10</v>
      </c>
      <c r="O96" s="8" t="str">
        <f t="shared" si="10"/>
        <v>October</v>
      </c>
      <c r="P96" s="7">
        <f t="shared" si="11"/>
        <v>2014</v>
      </c>
    </row>
    <row r="97" spans="1:16" ht="15.75" customHeight="1" x14ac:dyDescent="0.3">
      <c r="A97" s="11" t="s">
        <v>26</v>
      </c>
      <c r="B97" s="11" t="s">
        <v>22</v>
      </c>
      <c r="C97" s="12" t="s">
        <v>31</v>
      </c>
      <c r="D97" s="12" t="s">
        <v>33</v>
      </c>
      <c r="E97" s="11">
        <v>1744</v>
      </c>
      <c r="F97" s="12">
        <v>250</v>
      </c>
      <c r="G97" s="12">
        <v>125</v>
      </c>
      <c r="H97" s="8">
        <f t="shared" si="6"/>
        <v>654000</v>
      </c>
      <c r="I97" s="12">
        <v>2180</v>
      </c>
      <c r="J97" s="8">
        <f t="shared" si="7"/>
        <v>651820</v>
      </c>
      <c r="K97" s="12">
        <v>209280</v>
      </c>
      <c r="L97" s="8">
        <f t="shared" si="8"/>
        <v>442540</v>
      </c>
      <c r="M97" s="13">
        <v>41944</v>
      </c>
      <c r="N97" s="10">
        <f t="shared" si="9"/>
        <v>11</v>
      </c>
      <c r="O97" s="8" t="str">
        <f t="shared" si="10"/>
        <v>November</v>
      </c>
      <c r="P97" s="7">
        <f t="shared" si="11"/>
        <v>2014</v>
      </c>
    </row>
    <row r="98" spans="1:16" ht="15.75" customHeight="1" x14ac:dyDescent="0.3">
      <c r="A98" s="7" t="s">
        <v>25</v>
      </c>
      <c r="B98" s="7" t="s">
        <v>28</v>
      </c>
      <c r="C98" s="8" t="s">
        <v>32</v>
      </c>
      <c r="D98" s="8" t="s">
        <v>33</v>
      </c>
      <c r="E98" s="7">
        <v>1989</v>
      </c>
      <c r="F98" s="8">
        <v>260</v>
      </c>
      <c r="G98" s="8">
        <v>12</v>
      </c>
      <c r="H98" s="8">
        <f t="shared" si="6"/>
        <v>541008</v>
      </c>
      <c r="I98" s="8">
        <v>238.68</v>
      </c>
      <c r="J98" s="8">
        <f t="shared" si="7"/>
        <v>540769.31999999995</v>
      </c>
      <c r="K98" s="8">
        <v>5967</v>
      </c>
      <c r="L98" s="8">
        <f t="shared" si="8"/>
        <v>534802.31999999995</v>
      </c>
      <c r="M98" s="9">
        <v>41518</v>
      </c>
      <c r="N98" s="10">
        <f t="shared" si="9"/>
        <v>9</v>
      </c>
      <c r="O98" s="8" t="str">
        <f t="shared" si="10"/>
        <v>September</v>
      </c>
      <c r="P98" s="7">
        <f t="shared" si="11"/>
        <v>2013</v>
      </c>
    </row>
    <row r="99" spans="1:16" ht="15.75" customHeight="1" x14ac:dyDescent="0.3">
      <c r="A99" s="11" t="s">
        <v>21</v>
      </c>
      <c r="B99" s="11" t="s">
        <v>22</v>
      </c>
      <c r="C99" s="12" t="s">
        <v>32</v>
      </c>
      <c r="D99" s="12" t="s">
        <v>33</v>
      </c>
      <c r="E99" s="11">
        <v>321</v>
      </c>
      <c r="F99" s="12">
        <v>260</v>
      </c>
      <c r="G99" s="12">
        <v>15</v>
      </c>
      <c r="H99" s="8">
        <f t="shared" si="6"/>
        <v>88275</v>
      </c>
      <c r="I99" s="12">
        <v>48.15</v>
      </c>
      <c r="J99" s="8">
        <f t="shared" si="7"/>
        <v>88226.85</v>
      </c>
      <c r="K99" s="12">
        <v>3210</v>
      </c>
      <c r="L99" s="8">
        <f t="shared" si="8"/>
        <v>85016.85</v>
      </c>
      <c r="M99" s="13">
        <v>41579</v>
      </c>
      <c r="N99" s="10">
        <f t="shared" si="9"/>
        <v>11</v>
      </c>
      <c r="O99" s="8" t="str">
        <f t="shared" si="10"/>
        <v>November</v>
      </c>
      <c r="P99" s="7">
        <f t="shared" si="11"/>
        <v>2013</v>
      </c>
    </row>
    <row r="100" spans="1:16" ht="15.75" customHeight="1" x14ac:dyDescent="0.3">
      <c r="A100" s="7" t="s">
        <v>26</v>
      </c>
      <c r="B100" s="7" t="s">
        <v>17</v>
      </c>
      <c r="C100" s="8" t="s">
        <v>18</v>
      </c>
      <c r="D100" s="8" t="s">
        <v>33</v>
      </c>
      <c r="E100" s="7">
        <v>742.5</v>
      </c>
      <c r="F100" s="8">
        <v>3</v>
      </c>
      <c r="G100" s="8">
        <v>125</v>
      </c>
      <c r="H100" s="8">
        <f t="shared" si="6"/>
        <v>95040</v>
      </c>
      <c r="I100" s="8">
        <v>1856.25</v>
      </c>
      <c r="J100" s="8">
        <f t="shared" si="7"/>
        <v>93183.75</v>
      </c>
      <c r="K100" s="8">
        <v>89100</v>
      </c>
      <c r="L100" s="8">
        <f t="shared" si="8"/>
        <v>4083.75</v>
      </c>
      <c r="M100" s="9">
        <v>41730</v>
      </c>
      <c r="N100" s="10">
        <f t="shared" si="9"/>
        <v>4</v>
      </c>
      <c r="O100" s="8" t="str">
        <f t="shared" si="10"/>
        <v>April</v>
      </c>
      <c r="P100" s="7">
        <f t="shared" si="11"/>
        <v>2014</v>
      </c>
    </row>
    <row r="101" spans="1:16" ht="15.75" customHeight="1" x14ac:dyDescent="0.3">
      <c r="A101" s="11" t="s">
        <v>25</v>
      </c>
      <c r="B101" s="11" t="s">
        <v>17</v>
      </c>
      <c r="C101" s="12" t="s">
        <v>18</v>
      </c>
      <c r="D101" s="12" t="s">
        <v>33</v>
      </c>
      <c r="E101" s="11">
        <v>1295</v>
      </c>
      <c r="F101" s="12">
        <v>3</v>
      </c>
      <c r="G101" s="12">
        <v>12</v>
      </c>
      <c r="H101" s="8">
        <f t="shared" si="6"/>
        <v>19425</v>
      </c>
      <c r="I101" s="12">
        <v>310.8</v>
      </c>
      <c r="J101" s="8">
        <f t="shared" si="7"/>
        <v>19114.2</v>
      </c>
      <c r="K101" s="12">
        <v>3885</v>
      </c>
      <c r="L101" s="8">
        <f t="shared" si="8"/>
        <v>15229.2</v>
      </c>
      <c r="M101" s="13">
        <v>41913</v>
      </c>
      <c r="N101" s="10">
        <f t="shared" si="9"/>
        <v>10</v>
      </c>
      <c r="O101" s="8" t="str">
        <f t="shared" si="10"/>
        <v>October</v>
      </c>
      <c r="P101" s="7">
        <f t="shared" si="11"/>
        <v>2014</v>
      </c>
    </row>
    <row r="102" spans="1:16" ht="15.75" customHeight="1" x14ac:dyDescent="0.3">
      <c r="A102" s="7" t="s">
        <v>27</v>
      </c>
      <c r="B102" s="7" t="s">
        <v>20</v>
      </c>
      <c r="C102" s="8" t="s">
        <v>18</v>
      </c>
      <c r="D102" s="8" t="s">
        <v>33</v>
      </c>
      <c r="E102" s="7">
        <v>214</v>
      </c>
      <c r="F102" s="8">
        <v>3</v>
      </c>
      <c r="G102" s="8">
        <v>300</v>
      </c>
      <c r="H102" s="8">
        <f t="shared" si="6"/>
        <v>64842</v>
      </c>
      <c r="I102" s="8">
        <v>1284</v>
      </c>
      <c r="J102" s="8">
        <f t="shared" si="7"/>
        <v>63558</v>
      </c>
      <c r="K102" s="8">
        <v>53500</v>
      </c>
      <c r="L102" s="8">
        <f t="shared" si="8"/>
        <v>10058</v>
      </c>
      <c r="M102" s="9">
        <v>41548</v>
      </c>
      <c r="N102" s="10">
        <f t="shared" si="9"/>
        <v>10</v>
      </c>
      <c r="O102" s="8" t="str">
        <f t="shared" si="10"/>
        <v>October</v>
      </c>
      <c r="P102" s="7">
        <f t="shared" si="11"/>
        <v>2013</v>
      </c>
    </row>
    <row r="103" spans="1:16" ht="15.75" customHeight="1" x14ac:dyDescent="0.3">
      <c r="A103" s="11" t="s">
        <v>16</v>
      </c>
      <c r="B103" s="11" t="s">
        <v>22</v>
      </c>
      <c r="C103" s="12" t="s">
        <v>18</v>
      </c>
      <c r="D103" s="12" t="s">
        <v>33</v>
      </c>
      <c r="E103" s="11">
        <v>2145</v>
      </c>
      <c r="F103" s="12">
        <v>3</v>
      </c>
      <c r="G103" s="12">
        <v>7</v>
      </c>
      <c r="H103" s="8">
        <f t="shared" si="6"/>
        <v>21450</v>
      </c>
      <c r="I103" s="12">
        <v>300.3</v>
      </c>
      <c r="J103" s="8">
        <f t="shared" si="7"/>
        <v>21149.7</v>
      </c>
      <c r="K103" s="12">
        <v>10725</v>
      </c>
      <c r="L103" s="8">
        <f t="shared" si="8"/>
        <v>10424.700000000001</v>
      </c>
      <c r="M103" s="13">
        <v>41579</v>
      </c>
      <c r="N103" s="10">
        <f t="shared" si="9"/>
        <v>11</v>
      </c>
      <c r="O103" s="8" t="str">
        <f t="shared" si="10"/>
        <v>November</v>
      </c>
      <c r="P103" s="7">
        <f t="shared" si="11"/>
        <v>2013</v>
      </c>
    </row>
    <row r="104" spans="1:16" ht="15.75" customHeight="1" x14ac:dyDescent="0.3">
      <c r="A104" s="7" t="s">
        <v>16</v>
      </c>
      <c r="B104" s="7" t="s">
        <v>17</v>
      </c>
      <c r="C104" s="8" t="s">
        <v>18</v>
      </c>
      <c r="D104" s="8" t="s">
        <v>33</v>
      </c>
      <c r="E104" s="7">
        <v>2852</v>
      </c>
      <c r="F104" s="8">
        <v>3</v>
      </c>
      <c r="G104" s="8">
        <v>350</v>
      </c>
      <c r="H104" s="8">
        <f t="shared" si="6"/>
        <v>1006756</v>
      </c>
      <c r="I104" s="8">
        <v>19964</v>
      </c>
      <c r="J104" s="8">
        <f t="shared" si="7"/>
        <v>986792</v>
      </c>
      <c r="K104" s="8">
        <v>741520</v>
      </c>
      <c r="L104" s="8">
        <f t="shared" si="8"/>
        <v>245272</v>
      </c>
      <c r="M104" s="9">
        <v>41974</v>
      </c>
      <c r="N104" s="10">
        <f t="shared" si="9"/>
        <v>12</v>
      </c>
      <c r="O104" s="8" t="str">
        <f t="shared" si="10"/>
        <v>December</v>
      </c>
      <c r="P104" s="7">
        <f t="shared" si="11"/>
        <v>2014</v>
      </c>
    </row>
    <row r="105" spans="1:16" ht="15.75" customHeight="1" x14ac:dyDescent="0.3">
      <c r="A105" s="11" t="s">
        <v>25</v>
      </c>
      <c r="B105" s="11" t="s">
        <v>28</v>
      </c>
      <c r="C105" s="12" t="s">
        <v>24</v>
      </c>
      <c r="D105" s="12" t="s">
        <v>33</v>
      </c>
      <c r="E105" s="11">
        <v>1142</v>
      </c>
      <c r="F105" s="12">
        <v>5</v>
      </c>
      <c r="G105" s="12">
        <v>12</v>
      </c>
      <c r="H105" s="8">
        <f t="shared" si="6"/>
        <v>19414</v>
      </c>
      <c r="I105" s="12">
        <v>274.08</v>
      </c>
      <c r="J105" s="8">
        <f t="shared" si="7"/>
        <v>19139.919999999998</v>
      </c>
      <c r="K105" s="12">
        <v>3426</v>
      </c>
      <c r="L105" s="8">
        <f t="shared" si="8"/>
        <v>15713.919999999998</v>
      </c>
      <c r="M105" s="13">
        <v>41791</v>
      </c>
      <c r="N105" s="10">
        <f t="shared" si="9"/>
        <v>6</v>
      </c>
      <c r="O105" s="8" t="str">
        <f t="shared" si="10"/>
        <v>June</v>
      </c>
      <c r="P105" s="7">
        <f t="shared" si="11"/>
        <v>2014</v>
      </c>
    </row>
    <row r="106" spans="1:16" ht="15.75" customHeight="1" x14ac:dyDescent="0.3">
      <c r="A106" s="7" t="s">
        <v>16</v>
      </c>
      <c r="B106" s="7" t="s">
        <v>28</v>
      </c>
      <c r="C106" s="8" t="s">
        <v>24</v>
      </c>
      <c r="D106" s="8" t="s">
        <v>33</v>
      </c>
      <c r="E106" s="7">
        <v>1566</v>
      </c>
      <c r="F106" s="8">
        <v>5</v>
      </c>
      <c r="G106" s="8">
        <v>20</v>
      </c>
      <c r="H106" s="8">
        <f t="shared" si="6"/>
        <v>39150</v>
      </c>
      <c r="I106" s="8">
        <v>626.4</v>
      </c>
      <c r="J106" s="8">
        <f t="shared" si="7"/>
        <v>38523.599999999999</v>
      </c>
      <c r="K106" s="8">
        <v>15660</v>
      </c>
      <c r="L106" s="8">
        <f t="shared" si="8"/>
        <v>22863.599999999999</v>
      </c>
      <c r="M106" s="9">
        <v>41913</v>
      </c>
      <c r="N106" s="10">
        <f t="shared" si="9"/>
        <v>10</v>
      </c>
      <c r="O106" s="8" t="str">
        <f t="shared" si="10"/>
        <v>October</v>
      </c>
      <c r="P106" s="7">
        <f t="shared" si="11"/>
        <v>2014</v>
      </c>
    </row>
    <row r="107" spans="1:16" ht="15.75" customHeight="1" x14ac:dyDescent="0.3">
      <c r="A107" s="11" t="s">
        <v>25</v>
      </c>
      <c r="B107" s="11" t="s">
        <v>23</v>
      </c>
      <c r="C107" s="12" t="s">
        <v>24</v>
      </c>
      <c r="D107" s="12" t="s">
        <v>33</v>
      </c>
      <c r="E107" s="11">
        <v>690</v>
      </c>
      <c r="F107" s="12">
        <v>5</v>
      </c>
      <c r="G107" s="12">
        <v>12</v>
      </c>
      <c r="H107" s="8">
        <f t="shared" si="6"/>
        <v>11730</v>
      </c>
      <c r="I107" s="12">
        <v>165.6</v>
      </c>
      <c r="J107" s="8">
        <f t="shared" si="7"/>
        <v>11564.4</v>
      </c>
      <c r="K107" s="12">
        <v>2070</v>
      </c>
      <c r="L107" s="8">
        <f t="shared" si="8"/>
        <v>9494.4</v>
      </c>
      <c r="M107" s="13">
        <v>41944</v>
      </c>
      <c r="N107" s="10">
        <f t="shared" si="9"/>
        <v>11</v>
      </c>
      <c r="O107" s="8" t="str">
        <f t="shared" si="10"/>
        <v>November</v>
      </c>
      <c r="P107" s="7">
        <f t="shared" si="11"/>
        <v>2014</v>
      </c>
    </row>
    <row r="108" spans="1:16" ht="15.75" customHeight="1" x14ac:dyDescent="0.3">
      <c r="A108" s="7" t="s">
        <v>26</v>
      </c>
      <c r="B108" s="7" t="s">
        <v>23</v>
      </c>
      <c r="C108" s="8" t="s">
        <v>24</v>
      </c>
      <c r="D108" s="8" t="s">
        <v>33</v>
      </c>
      <c r="E108" s="7">
        <v>1660</v>
      </c>
      <c r="F108" s="8">
        <v>5</v>
      </c>
      <c r="G108" s="8">
        <v>125</v>
      </c>
      <c r="H108" s="8">
        <f t="shared" si="6"/>
        <v>215800</v>
      </c>
      <c r="I108" s="8">
        <v>4150</v>
      </c>
      <c r="J108" s="8">
        <f t="shared" si="7"/>
        <v>211650</v>
      </c>
      <c r="K108" s="8">
        <v>199200</v>
      </c>
      <c r="L108" s="8">
        <f t="shared" si="8"/>
        <v>12450</v>
      </c>
      <c r="M108" s="9">
        <v>41579</v>
      </c>
      <c r="N108" s="10">
        <f t="shared" si="9"/>
        <v>11</v>
      </c>
      <c r="O108" s="8" t="str">
        <f t="shared" si="10"/>
        <v>November</v>
      </c>
      <c r="P108" s="7">
        <f t="shared" si="11"/>
        <v>2013</v>
      </c>
    </row>
    <row r="109" spans="1:16" ht="15.75" customHeight="1" x14ac:dyDescent="0.3">
      <c r="A109" s="11" t="s">
        <v>21</v>
      </c>
      <c r="B109" s="11" t="s">
        <v>17</v>
      </c>
      <c r="C109" s="12" t="s">
        <v>29</v>
      </c>
      <c r="D109" s="12" t="s">
        <v>33</v>
      </c>
      <c r="E109" s="11">
        <v>2363</v>
      </c>
      <c r="F109" s="12">
        <v>10</v>
      </c>
      <c r="G109" s="12">
        <v>15</v>
      </c>
      <c r="H109" s="8">
        <f t="shared" si="6"/>
        <v>59075</v>
      </c>
      <c r="I109" s="12">
        <v>708.9</v>
      </c>
      <c r="J109" s="8">
        <f t="shared" si="7"/>
        <v>58366.1</v>
      </c>
      <c r="K109" s="12">
        <v>23630</v>
      </c>
      <c r="L109" s="8">
        <f t="shared" si="8"/>
        <v>34736.1</v>
      </c>
      <c r="M109" s="13">
        <v>41671</v>
      </c>
      <c r="N109" s="10">
        <f t="shared" si="9"/>
        <v>2</v>
      </c>
      <c r="O109" s="8" t="str">
        <f t="shared" si="10"/>
        <v>February</v>
      </c>
      <c r="P109" s="7">
        <f t="shared" si="11"/>
        <v>2014</v>
      </c>
    </row>
    <row r="110" spans="1:16" ht="15.75" customHeight="1" x14ac:dyDescent="0.3">
      <c r="A110" s="7" t="s">
        <v>27</v>
      </c>
      <c r="B110" s="7" t="s">
        <v>22</v>
      </c>
      <c r="C110" s="8" t="s">
        <v>29</v>
      </c>
      <c r="D110" s="8" t="s">
        <v>33</v>
      </c>
      <c r="E110" s="7">
        <v>918</v>
      </c>
      <c r="F110" s="8">
        <v>10</v>
      </c>
      <c r="G110" s="8">
        <v>300</v>
      </c>
      <c r="H110" s="8">
        <f t="shared" si="6"/>
        <v>284580</v>
      </c>
      <c r="I110" s="8">
        <v>5508</v>
      </c>
      <c r="J110" s="8">
        <f t="shared" si="7"/>
        <v>279072</v>
      </c>
      <c r="K110" s="8">
        <v>229500</v>
      </c>
      <c r="L110" s="8">
        <f t="shared" si="8"/>
        <v>49572</v>
      </c>
      <c r="M110" s="9">
        <v>41760</v>
      </c>
      <c r="N110" s="10">
        <f t="shared" si="9"/>
        <v>5</v>
      </c>
      <c r="O110" s="8" t="str">
        <f t="shared" si="10"/>
        <v>May</v>
      </c>
      <c r="P110" s="7">
        <f t="shared" si="11"/>
        <v>2014</v>
      </c>
    </row>
    <row r="111" spans="1:16" ht="15.75" customHeight="1" x14ac:dyDescent="0.3">
      <c r="A111" s="11" t="s">
        <v>27</v>
      </c>
      <c r="B111" s="11" t="s">
        <v>20</v>
      </c>
      <c r="C111" s="12" t="s">
        <v>29</v>
      </c>
      <c r="D111" s="12" t="s">
        <v>33</v>
      </c>
      <c r="E111" s="11">
        <v>1728</v>
      </c>
      <c r="F111" s="12">
        <v>10</v>
      </c>
      <c r="G111" s="12">
        <v>300</v>
      </c>
      <c r="H111" s="8">
        <f t="shared" si="6"/>
        <v>535680</v>
      </c>
      <c r="I111" s="12">
        <v>10368</v>
      </c>
      <c r="J111" s="8">
        <f t="shared" si="7"/>
        <v>525312</v>
      </c>
      <c r="K111" s="12">
        <v>432000</v>
      </c>
      <c r="L111" s="8">
        <f t="shared" si="8"/>
        <v>93312</v>
      </c>
      <c r="M111" s="13">
        <v>41760</v>
      </c>
      <c r="N111" s="10">
        <f t="shared" si="9"/>
        <v>5</v>
      </c>
      <c r="O111" s="8" t="str">
        <f t="shared" si="10"/>
        <v>May</v>
      </c>
      <c r="P111" s="7">
        <f t="shared" si="11"/>
        <v>2014</v>
      </c>
    </row>
    <row r="112" spans="1:16" ht="15.75" customHeight="1" x14ac:dyDescent="0.3">
      <c r="A112" s="7" t="s">
        <v>25</v>
      </c>
      <c r="B112" s="7" t="s">
        <v>28</v>
      </c>
      <c r="C112" s="8" t="s">
        <v>29</v>
      </c>
      <c r="D112" s="8" t="s">
        <v>33</v>
      </c>
      <c r="E112" s="7">
        <v>1142</v>
      </c>
      <c r="F112" s="8">
        <v>10</v>
      </c>
      <c r="G112" s="8">
        <v>12</v>
      </c>
      <c r="H112" s="8">
        <f t="shared" si="6"/>
        <v>25124</v>
      </c>
      <c r="I112" s="8">
        <v>274.08</v>
      </c>
      <c r="J112" s="8">
        <f t="shared" si="7"/>
        <v>24849.919999999998</v>
      </c>
      <c r="K112" s="8">
        <v>3426</v>
      </c>
      <c r="L112" s="8">
        <f t="shared" si="8"/>
        <v>21423.919999999998</v>
      </c>
      <c r="M112" s="9">
        <v>41791</v>
      </c>
      <c r="N112" s="10">
        <f t="shared" si="9"/>
        <v>6</v>
      </c>
      <c r="O112" s="8" t="str">
        <f t="shared" si="10"/>
        <v>June</v>
      </c>
      <c r="P112" s="7">
        <f t="shared" si="11"/>
        <v>2014</v>
      </c>
    </row>
    <row r="113" spans="1:16" ht="15.75" customHeight="1" x14ac:dyDescent="0.3">
      <c r="A113" s="11" t="s">
        <v>26</v>
      </c>
      <c r="B113" s="11" t="s">
        <v>23</v>
      </c>
      <c r="C113" s="12" t="s">
        <v>29</v>
      </c>
      <c r="D113" s="12" t="s">
        <v>33</v>
      </c>
      <c r="E113" s="11">
        <v>662</v>
      </c>
      <c r="F113" s="12">
        <v>10</v>
      </c>
      <c r="G113" s="12">
        <v>125</v>
      </c>
      <c r="H113" s="8">
        <f t="shared" si="6"/>
        <v>89370</v>
      </c>
      <c r="I113" s="12">
        <v>1655</v>
      </c>
      <c r="J113" s="8">
        <f t="shared" si="7"/>
        <v>87715</v>
      </c>
      <c r="K113" s="12">
        <v>79440</v>
      </c>
      <c r="L113" s="8">
        <f t="shared" si="8"/>
        <v>8275</v>
      </c>
      <c r="M113" s="13">
        <v>41791</v>
      </c>
      <c r="N113" s="10">
        <f t="shared" si="9"/>
        <v>6</v>
      </c>
      <c r="O113" s="8" t="str">
        <f t="shared" si="10"/>
        <v>June</v>
      </c>
      <c r="P113" s="7">
        <f t="shared" si="11"/>
        <v>2014</v>
      </c>
    </row>
    <row r="114" spans="1:16" ht="15.75" customHeight="1" x14ac:dyDescent="0.3">
      <c r="A114" s="7" t="s">
        <v>25</v>
      </c>
      <c r="B114" s="7" t="s">
        <v>17</v>
      </c>
      <c r="C114" s="8" t="s">
        <v>29</v>
      </c>
      <c r="D114" s="8" t="s">
        <v>33</v>
      </c>
      <c r="E114" s="7">
        <v>1295</v>
      </c>
      <c r="F114" s="8">
        <v>10</v>
      </c>
      <c r="G114" s="8">
        <v>12</v>
      </c>
      <c r="H114" s="8">
        <f t="shared" si="6"/>
        <v>28490</v>
      </c>
      <c r="I114" s="8">
        <v>310.8</v>
      </c>
      <c r="J114" s="8">
        <f t="shared" si="7"/>
        <v>28179.200000000001</v>
      </c>
      <c r="K114" s="8">
        <v>3885</v>
      </c>
      <c r="L114" s="8">
        <f t="shared" si="8"/>
        <v>24294.2</v>
      </c>
      <c r="M114" s="9">
        <v>41913</v>
      </c>
      <c r="N114" s="10">
        <f t="shared" si="9"/>
        <v>10</v>
      </c>
      <c r="O114" s="8" t="str">
        <f t="shared" si="10"/>
        <v>October</v>
      </c>
      <c r="P114" s="7">
        <f t="shared" si="11"/>
        <v>2014</v>
      </c>
    </row>
    <row r="115" spans="1:16" ht="15.75" customHeight="1" x14ac:dyDescent="0.3">
      <c r="A115" s="11" t="s">
        <v>26</v>
      </c>
      <c r="B115" s="11" t="s">
        <v>20</v>
      </c>
      <c r="C115" s="12" t="s">
        <v>29</v>
      </c>
      <c r="D115" s="12" t="s">
        <v>33</v>
      </c>
      <c r="E115" s="11">
        <v>809</v>
      </c>
      <c r="F115" s="12">
        <v>10</v>
      </c>
      <c r="G115" s="12">
        <v>125</v>
      </c>
      <c r="H115" s="8">
        <f t="shared" si="6"/>
        <v>109215</v>
      </c>
      <c r="I115" s="12">
        <v>2022.5</v>
      </c>
      <c r="J115" s="8">
        <f t="shared" si="7"/>
        <v>107192.5</v>
      </c>
      <c r="K115" s="12">
        <v>97080</v>
      </c>
      <c r="L115" s="8">
        <f t="shared" si="8"/>
        <v>10112.5</v>
      </c>
      <c r="M115" s="13">
        <v>41548</v>
      </c>
      <c r="N115" s="10">
        <f t="shared" si="9"/>
        <v>10</v>
      </c>
      <c r="O115" s="8" t="str">
        <f t="shared" si="10"/>
        <v>October</v>
      </c>
      <c r="P115" s="7">
        <f t="shared" si="11"/>
        <v>2013</v>
      </c>
    </row>
    <row r="116" spans="1:16" ht="15.75" customHeight="1" x14ac:dyDescent="0.3">
      <c r="A116" s="7" t="s">
        <v>26</v>
      </c>
      <c r="B116" s="7" t="s">
        <v>23</v>
      </c>
      <c r="C116" s="8" t="s">
        <v>29</v>
      </c>
      <c r="D116" s="8" t="s">
        <v>33</v>
      </c>
      <c r="E116" s="7">
        <v>2145</v>
      </c>
      <c r="F116" s="8">
        <v>10</v>
      </c>
      <c r="G116" s="8">
        <v>125</v>
      </c>
      <c r="H116" s="8">
        <f t="shared" si="6"/>
        <v>289575</v>
      </c>
      <c r="I116" s="8">
        <v>5362.5</v>
      </c>
      <c r="J116" s="8">
        <f t="shared" si="7"/>
        <v>284212.5</v>
      </c>
      <c r="K116" s="8">
        <v>257400</v>
      </c>
      <c r="L116" s="8">
        <f t="shared" si="8"/>
        <v>26812.5</v>
      </c>
      <c r="M116" s="9">
        <v>41548</v>
      </c>
      <c r="N116" s="10">
        <f t="shared" si="9"/>
        <v>10</v>
      </c>
      <c r="O116" s="8" t="str">
        <f t="shared" si="10"/>
        <v>October</v>
      </c>
      <c r="P116" s="7">
        <f t="shared" si="11"/>
        <v>2013</v>
      </c>
    </row>
    <row r="117" spans="1:16" ht="15.75" customHeight="1" x14ac:dyDescent="0.3">
      <c r="A117" s="11" t="s">
        <v>25</v>
      </c>
      <c r="B117" s="11" t="s">
        <v>22</v>
      </c>
      <c r="C117" s="12" t="s">
        <v>29</v>
      </c>
      <c r="D117" s="12" t="s">
        <v>33</v>
      </c>
      <c r="E117" s="11">
        <v>1785</v>
      </c>
      <c r="F117" s="12">
        <v>10</v>
      </c>
      <c r="G117" s="12">
        <v>12</v>
      </c>
      <c r="H117" s="8">
        <f t="shared" si="6"/>
        <v>39270</v>
      </c>
      <c r="I117" s="12">
        <v>428.4</v>
      </c>
      <c r="J117" s="8">
        <f t="shared" si="7"/>
        <v>38841.599999999999</v>
      </c>
      <c r="K117" s="12">
        <v>5355</v>
      </c>
      <c r="L117" s="8">
        <f t="shared" si="8"/>
        <v>33486.6</v>
      </c>
      <c r="M117" s="13">
        <v>41579</v>
      </c>
      <c r="N117" s="10">
        <f t="shared" si="9"/>
        <v>11</v>
      </c>
      <c r="O117" s="8" t="str">
        <f t="shared" si="10"/>
        <v>November</v>
      </c>
      <c r="P117" s="7">
        <f t="shared" si="11"/>
        <v>2013</v>
      </c>
    </row>
    <row r="118" spans="1:16" ht="15.75" customHeight="1" x14ac:dyDescent="0.3">
      <c r="A118" s="7" t="s">
        <v>27</v>
      </c>
      <c r="B118" s="7" t="s">
        <v>17</v>
      </c>
      <c r="C118" s="8" t="s">
        <v>29</v>
      </c>
      <c r="D118" s="8" t="s">
        <v>33</v>
      </c>
      <c r="E118" s="7">
        <v>1916</v>
      </c>
      <c r="F118" s="8">
        <v>10</v>
      </c>
      <c r="G118" s="8">
        <v>300</v>
      </c>
      <c r="H118" s="8">
        <f t="shared" si="6"/>
        <v>593960</v>
      </c>
      <c r="I118" s="8">
        <v>11496</v>
      </c>
      <c r="J118" s="8">
        <f t="shared" si="7"/>
        <v>582464</v>
      </c>
      <c r="K118" s="8">
        <v>479000</v>
      </c>
      <c r="L118" s="8">
        <f t="shared" si="8"/>
        <v>103464</v>
      </c>
      <c r="M118" s="9">
        <v>41974</v>
      </c>
      <c r="N118" s="10">
        <f t="shared" si="9"/>
        <v>12</v>
      </c>
      <c r="O118" s="8" t="str">
        <f t="shared" si="10"/>
        <v>December</v>
      </c>
      <c r="P118" s="7">
        <f t="shared" si="11"/>
        <v>2014</v>
      </c>
    </row>
    <row r="119" spans="1:16" ht="15.75" customHeight="1" x14ac:dyDescent="0.3">
      <c r="A119" s="11" t="s">
        <v>16</v>
      </c>
      <c r="B119" s="11" t="s">
        <v>17</v>
      </c>
      <c r="C119" s="12" t="s">
        <v>29</v>
      </c>
      <c r="D119" s="12" t="s">
        <v>33</v>
      </c>
      <c r="E119" s="11">
        <v>2852</v>
      </c>
      <c r="F119" s="12">
        <v>10</v>
      </c>
      <c r="G119" s="12">
        <v>350</v>
      </c>
      <c r="H119" s="8">
        <f t="shared" si="6"/>
        <v>1026720</v>
      </c>
      <c r="I119" s="12">
        <v>19964</v>
      </c>
      <c r="J119" s="8">
        <f t="shared" si="7"/>
        <v>1006756</v>
      </c>
      <c r="K119" s="12">
        <v>741520</v>
      </c>
      <c r="L119" s="8">
        <f t="shared" si="8"/>
        <v>265236</v>
      </c>
      <c r="M119" s="13">
        <v>41974</v>
      </c>
      <c r="N119" s="10">
        <f t="shared" si="9"/>
        <v>12</v>
      </c>
      <c r="O119" s="8" t="str">
        <f t="shared" si="10"/>
        <v>December</v>
      </c>
      <c r="P119" s="7">
        <f t="shared" si="11"/>
        <v>2014</v>
      </c>
    </row>
    <row r="120" spans="1:16" ht="15.75" customHeight="1" x14ac:dyDescent="0.3">
      <c r="A120" s="7" t="s">
        <v>26</v>
      </c>
      <c r="B120" s="7" t="s">
        <v>17</v>
      </c>
      <c r="C120" s="8" t="s">
        <v>29</v>
      </c>
      <c r="D120" s="8" t="s">
        <v>33</v>
      </c>
      <c r="E120" s="7">
        <v>2729</v>
      </c>
      <c r="F120" s="8">
        <v>10</v>
      </c>
      <c r="G120" s="8">
        <v>125</v>
      </c>
      <c r="H120" s="8">
        <f t="shared" si="6"/>
        <v>368415</v>
      </c>
      <c r="I120" s="8">
        <v>6822.5</v>
      </c>
      <c r="J120" s="8">
        <f t="shared" si="7"/>
        <v>361592.5</v>
      </c>
      <c r="K120" s="8">
        <v>327480</v>
      </c>
      <c r="L120" s="8">
        <f t="shared" si="8"/>
        <v>34112.5</v>
      </c>
      <c r="M120" s="9">
        <v>41974</v>
      </c>
      <c r="N120" s="10">
        <f t="shared" si="9"/>
        <v>12</v>
      </c>
      <c r="O120" s="8" t="str">
        <f t="shared" si="10"/>
        <v>December</v>
      </c>
      <c r="P120" s="7">
        <f t="shared" si="11"/>
        <v>2014</v>
      </c>
    </row>
    <row r="121" spans="1:16" ht="15.75" customHeight="1" x14ac:dyDescent="0.3">
      <c r="A121" s="11" t="s">
        <v>21</v>
      </c>
      <c r="B121" s="11" t="s">
        <v>28</v>
      </c>
      <c r="C121" s="12" t="s">
        <v>29</v>
      </c>
      <c r="D121" s="12" t="s">
        <v>33</v>
      </c>
      <c r="E121" s="11">
        <v>1925</v>
      </c>
      <c r="F121" s="12">
        <v>10</v>
      </c>
      <c r="G121" s="12">
        <v>15</v>
      </c>
      <c r="H121" s="8">
        <f t="shared" si="6"/>
        <v>48125</v>
      </c>
      <c r="I121" s="12">
        <v>577.5</v>
      </c>
      <c r="J121" s="8">
        <f t="shared" si="7"/>
        <v>47547.5</v>
      </c>
      <c r="K121" s="12">
        <v>19250</v>
      </c>
      <c r="L121" s="8">
        <f t="shared" si="8"/>
        <v>28297.5</v>
      </c>
      <c r="M121" s="13">
        <v>41609</v>
      </c>
      <c r="N121" s="10">
        <f t="shared" si="9"/>
        <v>12</v>
      </c>
      <c r="O121" s="8" t="str">
        <f t="shared" si="10"/>
        <v>December</v>
      </c>
      <c r="P121" s="7">
        <f t="shared" si="11"/>
        <v>2013</v>
      </c>
    </row>
    <row r="122" spans="1:16" ht="15.75" customHeight="1" x14ac:dyDescent="0.3">
      <c r="A122" s="7" t="s">
        <v>16</v>
      </c>
      <c r="B122" s="7" t="s">
        <v>28</v>
      </c>
      <c r="C122" s="8" t="s">
        <v>29</v>
      </c>
      <c r="D122" s="8" t="s">
        <v>33</v>
      </c>
      <c r="E122" s="7">
        <v>2013</v>
      </c>
      <c r="F122" s="8">
        <v>10</v>
      </c>
      <c r="G122" s="8">
        <v>7</v>
      </c>
      <c r="H122" s="8">
        <f t="shared" si="6"/>
        <v>34221</v>
      </c>
      <c r="I122" s="8">
        <v>281.82</v>
      </c>
      <c r="J122" s="8">
        <f t="shared" si="7"/>
        <v>33939.18</v>
      </c>
      <c r="K122" s="8">
        <v>10065</v>
      </c>
      <c r="L122" s="8">
        <f t="shared" si="8"/>
        <v>23874.18</v>
      </c>
      <c r="M122" s="9">
        <v>41609</v>
      </c>
      <c r="N122" s="10">
        <f t="shared" si="9"/>
        <v>12</v>
      </c>
      <c r="O122" s="8" t="str">
        <f t="shared" si="10"/>
        <v>December</v>
      </c>
      <c r="P122" s="7">
        <f t="shared" si="11"/>
        <v>2013</v>
      </c>
    </row>
    <row r="123" spans="1:16" ht="15.75" customHeight="1" x14ac:dyDescent="0.3">
      <c r="A123" s="11" t="s">
        <v>25</v>
      </c>
      <c r="B123" s="11" t="s">
        <v>22</v>
      </c>
      <c r="C123" s="12" t="s">
        <v>29</v>
      </c>
      <c r="D123" s="12" t="s">
        <v>33</v>
      </c>
      <c r="E123" s="11">
        <v>1055</v>
      </c>
      <c r="F123" s="12">
        <v>10</v>
      </c>
      <c r="G123" s="12">
        <v>12</v>
      </c>
      <c r="H123" s="8">
        <f t="shared" si="6"/>
        <v>23210</v>
      </c>
      <c r="I123" s="12">
        <v>253.2</v>
      </c>
      <c r="J123" s="8">
        <f t="shared" si="7"/>
        <v>22956.799999999999</v>
      </c>
      <c r="K123" s="12">
        <v>3165</v>
      </c>
      <c r="L123" s="8">
        <f t="shared" si="8"/>
        <v>19791.8</v>
      </c>
      <c r="M123" s="13">
        <v>41974</v>
      </c>
      <c r="N123" s="10">
        <f t="shared" si="9"/>
        <v>12</v>
      </c>
      <c r="O123" s="8" t="str">
        <f t="shared" si="10"/>
        <v>December</v>
      </c>
      <c r="P123" s="7">
        <f t="shared" si="11"/>
        <v>2014</v>
      </c>
    </row>
    <row r="124" spans="1:16" ht="15.75" customHeight="1" x14ac:dyDescent="0.3">
      <c r="A124" s="7" t="s">
        <v>25</v>
      </c>
      <c r="B124" s="7" t="s">
        <v>23</v>
      </c>
      <c r="C124" s="8" t="s">
        <v>29</v>
      </c>
      <c r="D124" s="8" t="s">
        <v>33</v>
      </c>
      <c r="E124" s="7">
        <v>1084</v>
      </c>
      <c r="F124" s="8">
        <v>10</v>
      </c>
      <c r="G124" s="8">
        <v>12</v>
      </c>
      <c r="H124" s="8">
        <f t="shared" si="6"/>
        <v>23848</v>
      </c>
      <c r="I124" s="8">
        <v>260.16000000000003</v>
      </c>
      <c r="J124" s="8">
        <f t="shared" si="7"/>
        <v>23587.84</v>
      </c>
      <c r="K124" s="8">
        <v>3252</v>
      </c>
      <c r="L124" s="8">
        <f t="shared" si="8"/>
        <v>20335.84</v>
      </c>
      <c r="M124" s="9">
        <v>41974</v>
      </c>
      <c r="N124" s="10">
        <f t="shared" si="9"/>
        <v>12</v>
      </c>
      <c r="O124" s="8" t="str">
        <f t="shared" si="10"/>
        <v>December</v>
      </c>
      <c r="P124" s="7">
        <f t="shared" si="11"/>
        <v>2014</v>
      </c>
    </row>
    <row r="125" spans="1:16" ht="15.75" customHeight="1" x14ac:dyDescent="0.3">
      <c r="A125" s="11" t="s">
        <v>16</v>
      </c>
      <c r="B125" s="11" t="s">
        <v>28</v>
      </c>
      <c r="C125" s="12" t="s">
        <v>30</v>
      </c>
      <c r="D125" s="12" t="s">
        <v>33</v>
      </c>
      <c r="E125" s="11">
        <v>1566</v>
      </c>
      <c r="F125" s="12">
        <v>120</v>
      </c>
      <c r="G125" s="12">
        <v>20</v>
      </c>
      <c r="H125" s="8">
        <f t="shared" si="6"/>
        <v>219240</v>
      </c>
      <c r="I125" s="12">
        <v>626.4</v>
      </c>
      <c r="J125" s="8">
        <f t="shared" si="7"/>
        <v>218613.6</v>
      </c>
      <c r="K125" s="12">
        <v>15660</v>
      </c>
      <c r="L125" s="8">
        <f t="shared" si="8"/>
        <v>202953.60000000001</v>
      </c>
      <c r="M125" s="13">
        <v>41913</v>
      </c>
      <c r="N125" s="10">
        <f t="shared" si="9"/>
        <v>10</v>
      </c>
      <c r="O125" s="8" t="str">
        <f t="shared" si="10"/>
        <v>October</v>
      </c>
      <c r="P125" s="7">
        <f t="shared" si="11"/>
        <v>2014</v>
      </c>
    </row>
    <row r="126" spans="1:16" ht="15.75" customHeight="1" x14ac:dyDescent="0.3">
      <c r="A126" s="7" t="s">
        <v>16</v>
      </c>
      <c r="B126" s="7" t="s">
        <v>20</v>
      </c>
      <c r="C126" s="8" t="s">
        <v>30</v>
      </c>
      <c r="D126" s="8" t="s">
        <v>33</v>
      </c>
      <c r="E126" s="7">
        <v>2966</v>
      </c>
      <c r="F126" s="8">
        <v>120</v>
      </c>
      <c r="G126" s="8">
        <v>350</v>
      </c>
      <c r="H126" s="8">
        <f t="shared" si="6"/>
        <v>1394020</v>
      </c>
      <c r="I126" s="8">
        <v>20762</v>
      </c>
      <c r="J126" s="8">
        <f t="shared" si="7"/>
        <v>1373258</v>
      </c>
      <c r="K126" s="8">
        <v>771160</v>
      </c>
      <c r="L126" s="8">
        <f t="shared" si="8"/>
        <v>602098</v>
      </c>
      <c r="M126" s="9">
        <v>41548</v>
      </c>
      <c r="N126" s="10">
        <f t="shared" si="9"/>
        <v>10</v>
      </c>
      <c r="O126" s="8" t="str">
        <f t="shared" si="10"/>
        <v>October</v>
      </c>
      <c r="P126" s="7">
        <f t="shared" si="11"/>
        <v>2013</v>
      </c>
    </row>
    <row r="127" spans="1:16" ht="15.75" customHeight="1" x14ac:dyDescent="0.3">
      <c r="A127" s="11" t="s">
        <v>16</v>
      </c>
      <c r="B127" s="11" t="s">
        <v>20</v>
      </c>
      <c r="C127" s="12" t="s">
        <v>30</v>
      </c>
      <c r="D127" s="12" t="s">
        <v>33</v>
      </c>
      <c r="E127" s="11">
        <v>2877</v>
      </c>
      <c r="F127" s="12">
        <v>120</v>
      </c>
      <c r="G127" s="12">
        <v>350</v>
      </c>
      <c r="H127" s="8">
        <f t="shared" si="6"/>
        <v>1352190</v>
      </c>
      <c r="I127" s="12">
        <v>20139</v>
      </c>
      <c r="J127" s="8">
        <f t="shared" si="7"/>
        <v>1332051</v>
      </c>
      <c r="K127" s="12">
        <v>748020</v>
      </c>
      <c r="L127" s="8">
        <f t="shared" si="8"/>
        <v>584031</v>
      </c>
      <c r="M127" s="13">
        <v>41913</v>
      </c>
      <c r="N127" s="10">
        <f t="shared" si="9"/>
        <v>10</v>
      </c>
      <c r="O127" s="8" t="str">
        <f t="shared" si="10"/>
        <v>October</v>
      </c>
      <c r="P127" s="7">
        <f t="shared" si="11"/>
        <v>2014</v>
      </c>
    </row>
    <row r="128" spans="1:16" ht="15.75" customHeight="1" x14ac:dyDescent="0.3">
      <c r="A128" s="7" t="s">
        <v>26</v>
      </c>
      <c r="B128" s="7" t="s">
        <v>20</v>
      </c>
      <c r="C128" s="8" t="s">
        <v>30</v>
      </c>
      <c r="D128" s="8" t="s">
        <v>33</v>
      </c>
      <c r="E128" s="7">
        <v>809</v>
      </c>
      <c r="F128" s="8">
        <v>120</v>
      </c>
      <c r="G128" s="8">
        <v>125</v>
      </c>
      <c r="H128" s="8">
        <f t="shared" si="6"/>
        <v>198205</v>
      </c>
      <c r="I128" s="8">
        <v>2022.5</v>
      </c>
      <c r="J128" s="8">
        <f t="shared" si="7"/>
        <v>196182.5</v>
      </c>
      <c r="K128" s="8">
        <v>97080</v>
      </c>
      <c r="L128" s="8">
        <f t="shared" si="8"/>
        <v>99102.5</v>
      </c>
      <c r="M128" s="9">
        <v>41548</v>
      </c>
      <c r="N128" s="10">
        <f t="shared" si="9"/>
        <v>10</v>
      </c>
      <c r="O128" s="8" t="str">
        <f t="shared" si="10"/>
        <v>October</v>
      </c>
      <c r="P128" s="7">
        <f t="shared" si="11"/>
        <v>2013</v>
      </c>
    </row>
    <row r="129" spans="1:16" ht="15.75" customHeight="1" x14ac:dyDescent="0.3">
      <c r="A129" s="11" t="s">
        <v>26</v>
      </c>
      <c r="B129" s="11" t="s">
        <v>23</v>
      </c>
      <c r="C129" s="12" t="s">
        <v>30</v>
      </c>
      <c r="D129" s="12" t="s">
        <v>33</v>
      </c>
      <c r="E129" s="11">
        <v>2145</v>
      </c>
      <c r="F129" s="12">
        <v>120</v>
      </c>
      <c r="G129" s="12">
        <v>125</v>
      </c>
      <c r="H129" s="8">
        <f t="shared" si="6"/>
        <v>525525</v>
      </c>
      <c r="I129" s="12">
        <v>5362.5</v>
      </c>
      <c r="J129" s="8">
        <f t="shared" si="7"/>
        <v>520162.5</v>
      </c>
      <c r="K129" s="12">
        <v>257400</v>
      </c>
      <c r="L129" s="8">
        <f t="shared" si="8"/>
        <v>262762.5</v>
      </c>
      <c r="M129" s="13">
        <v>41548</v>
      </c>
      <c r="N129" s="10">
        <f t="shared" si="9"/>
        <v>10</v>
      </c>
      <c r="O129" s="8" t="str">
        <f t="shared" si="10"/>
        <v>October</v>
      </c>
      <c r="P129" s="7">
        <f t="shared" si="11"/>
        <v>2013</v>
      </c>
    </row>
    <row r="130" spans="1:16" ht="15.75" customHeight="1" x14ac:dyDescent="0.3">
      <c r="A130" s="7" t="s">
        <v>25</v>
      </c>
      <c r="B130" s="7" t="s">
        <v>22</v>
      </c>
      <c r="C130" s="8" t="s">
        <v>30</v>
      </c>
      <c r="D130" s="8" t="s">
        <v>33</v>
      </c>
      <c r="E130" s="7">
        <v>1055</v>
      </c>
      <c r="F130" s="8">
        <v>120</v>
      </c>
      <c r="G130" s="8">
        <v>12</v>
      </c>
      <c r="H130" s="8">
        <f t="shared" si="6"/>
        <v>139260</v>
      </c>
      <c r="I130" s="8">
        <v>253.2</v>
      </c>
      <c r="J130" s="8">
        <f t="shared" si="7"/>
        <v>139006.79999999999</v>
      </c>
      <c r="K130" s="8">
        <v>3165</v>
      </c>
      <c r="L130" s="8">
        <f t="shared" si="8"/>
        <v>135841.79999999999</v>
      </c>
      <c r="M130" s="9">
        <v>41974</v>
      </c>
      <c r="N130" s="10">
        <f t="shared" si="9"/>
        <v>12</v>
      </c>
      <c r="O130" s="8" t="str">
        <f t="shared" si="10"/>
        <v>December</v>
      </c>
      <c r="P130" s="7">
        <f t="shared" si="11"/>
        <v>2014</v>
      </c>
    </row>
    <row r="131" spans="1:16" ht="15.75" customHeight="1" x14ac:dyDescent="0.3">
      <c r="A131" s="11" t="s">
        <v>16</v>
      </c>
      <c r="B131" s="11" t="s">
        <v>23</v>
      </c>
      <c r="C131" s="12" t="s">
        <v>30</v>
      </c>
      <c r="D131" s="12" t="s">
        <v>33</v>
      </c>
      <c r="E131" s="11">
        <v>544</v>
      </c>
      <c r="F131" s="12">
        <v>120</v>
      </c>
      <c r="G131" s="12">
        <v>20</v>
      </c>
      <c r="H131" s="8">
        <f t="shared" ref="H131:H194" si="12">E131*(F131+G131)</f>
        <v>76160</v>
      </c>
      <c r="I131" s="12">
        <v>217.6</v>
      </c>
      <c r="J131" s="8">
        <f t="shared" ref="J131:J194" si="13">H131-I131</f>
        <v>75942.399999999994</v>
      </c>
      <c r="K131" s="12">
        <v>5440</v>
      </c>
      <c r="L131" s="8">
        <f t="shared" ref="L131:L194" si="14">J131-K131</f>
        <v>70502.399999999994</v>
      </c>
      <c r="M131" s="13">
        <v>41609</v>
      </c>
      <c r="N131" s="10">
        <f t="shared" ref="N131:N194" si="15">MONTH(M131)</f>
        <v>12</v>
      </c>
      <c r="O131" s="8" t="str">
        <f t="shared" ref="O131:O194" si="16">TEXT(M131,"MMMM")</f>
        <v>December</v>
      </c>
      <c r="P131" s="7">
        <f t="shared" ref="P131:P194" si="17">YEAR(M131)</f>
        <v>2013</v>
      </c>
    </row>
    <row r="132" spans="1:16" ht="15.75" customHeight="1" x14ac:dyDescent="0.3">
      <c r="A132" s="7" t="s">
        <v>25</v>
      </c>
      <c r="B132" s="7" t="s">
        <v>23</v>
      </c>
      <c r="C132" s="8" t="s">
        <v>30</v>
      </c>
      <c r="D132" s="8" t="s">
        <v>33</v>
      </c>
      <c r="E132" s="7">
        <v>1084</v>
      </c>
      <c r="F132" s="8">
        <v>120</v>
      </c>
      <c r="G132" s="8">
        <v>12</v>
      </c>
      <c r="H132" s="8">
        <f t="shared" si="12"/>
        <v>143088</v>
      </c>
      <c r="I132" s="8">
        <v>260.16000000000003</v>
      </c>
      <c r="J132" s="8">
        <f t="shared" si="13"/>
        <v>142827.84</v>
      </c>
      <c r="K132" s="8">
        <v>3252</v>
      </c>
      <c r="L132" s="8">
        <f t="shared" si="14"/>
        <v>139575.84</v>
      </c>
      <c r="M132" s="9">
        <v>41974</v>
      </c>
      <c r="N132" s="10">
        <f t="shared" si="15"/>
        <v>12</v>
      </c>
      <c r="O132" s="8" t="str">
        <f t="shared" si="16"/>
        <v>December</v>
      </c>
      <c r="P132" s="7">
        <f t="shared" si="17"/>
        <v>2014</v>
      </c>
    </row>
    <row r="133" spans="1:16" ht="15.75" customHeight="1" x14ac:dyDescent="0.3">
      <c r="A133" s="11" t="s">
        <v>26</v>
      </c>
      <c r="B133" s="11" t="s">
        <v>23</v>
      </c>
      <c r="C133" s="12" t="s">
        <v>31</v>
      </c>
      <c r="D133" s="12" t="s">
        <v>33</v>
      </c>
      <c r="E133" s="11">
        <v>662</v>
      </c>
      <c r="F133" s="12">
        <v>250</v>
      </c>
      <c r="G133" s="12">
        <v>125</v>
      </c>
      <c r="H133" s="8">
        <f t="shared" si="12"/>
        <v>248250</v>
      </c>
      <c r="I133" s="12">
        <v>1655</v>
      </c>
      <c r="J133" s="8">
        <f t="shared" si="13"/>
        <v>246595</v>
      </c>
      <c r="K133" s="12">
        <v>79440</v>
      </c>
      <c r="L133" s="8">
        <f t="shared" si="14"/>
        <v>167155</v>
      </c>
      <c r="M133" s="13">
        <v>41791</v>
      </c>
      <c r="N133" s="10">
        <f t="shared" si="15"/>
        <v>6</v>
      </c>
      <c r="O133" s="8" t="str">
        <f t="shared" si="16"/>
        <v>June</v>
      </c>
      <c r="P133" s="7">
        <f t="shared" si="17"/>
        <v>2014</v>
      </c>
    </row>
    <row r="134" spans="1:16" ht="15.75" customHeight="1" x14ac:dyDescent="0.3">
      <c r="A134" s="7" t="s">
        <v>27</v>
      </c>
      <c r="B134" s="7" t="s">
        <v>20</v>
      </c>
      <c r="C134" s="8" t="s">
        <v>31</v>
      </c>
      <c r="D134" s="8" t="s">
        <v>33</v>
      </c>
      <c r="E134" s="7">
        <v>214</v>
      </c>
      <c r="F134" s="8">
        <v>250</v>
      </c>
      <c r="G134" s="8">
        <v>300</v>
      </c>
      <c r="H134" s="8">
        <f t="shared" si="12"/>
        <v>117700</v>
      </c>
      <c r="I134" s="8">
        <v>1284</v>
      </c>
      <c r="J134" s="8">
        <f t="shared" si="13"/>
        <v>116416</v>
      </c>
      <c r="K134" s="8">
        <v>53500</v>
      </c>
      <c r="L134" s="8">
        <f t="shared" si="14"/>
        <v>62916</v>
      </c>
      <c r="M134" s="9">
        <v>41548</v>
      </c>
      <c r="N134" s="10">
        <f t="shared" si="15"/>
        <v>10</v>
      </c>
      <c r="O134" s="8" t="str">
        <f t="shared" si="16"/>
        <v>October</v>
      </c>
      <c r="P134" s="7">
        <f t="shared" si="17"/>
        <v>2013</v>
      </c>
    </row>
    <row r="135" spans="1:16" ht="15.75" customHeight="1" x14ac:dyDescent="0.3">
      <c r="A135" s="11" t="s">
        <v>16</v>
      </c>
      <c r="B135" s="11" t="s">
        <v>20</v>
      </c>
      <c r="C135" s="12" t="s">
        <v>31</v>
      </c>
      <c r="D135" s="12" t="s">
        <v>33</v>
      </c>
      <c r="E135" s="11">
        <v>2877</v>
      </c>
      <c r="F135" s="12">
        <v>250</v>
      </c>
      <c r="G135" s="12">
        <v>350</v>
      </c>
      <c r="H135" s="8">
        <f t="shared" si="12"/>
        <v>1726200</v>
      </c>
      <c r="I135" s="12">
        <v>20139</v>
      </c>
      <c r="J135" s="8">
        <f t="shared" si="13"/>
        <v>1706061</v>
      </c>
      <c r="K135" s="12">
        <v>748020</v>
      </c>
      <c r="L135" s="8">
        <f t="shared" si="14"/>
        <v>958041</v>
      </c>
      <c r="M135" s="13">
        <v>41913</v>
      </c>
      <c r="N135" s="10">
        <f t="shared" si="15"/>
        <v>10</v>
      </c>
      <c r="O135" s="8" t="str">
        <f t="shared" si="16"/>
        <v>October</v>
      </c>
      <c r="P135" s="7">
        <f t="shared" si="17"/>
        <v>2014</v>
      </c>
    </row>
    <row r="136" spans="1:16" ht="15.75" customHeight="1" x14ac:dyDescent="0.3">
      <c r="A136" s="7" t="s">
        <v>26</v>
      </c>
      <c r="B136" s="7" t="s">
        <v>17</v>
      </c>
      <c r="C136" s="8" t="s">
        <v>31</v>
      </c>
      <c r="D136" s="8" t="s">
        <v>33</v>
      </c>
      <c r="E136" s="7">
        <v>2729</v>
      </c>
      <c r="F136" s="8">
        <v>250</v>
      </c>
      <c r="G136" s="8">
        <v>125</v>
      </c>
      <c r="H136" s="8">
        <f t="shared" si="12"/>
        <v>1023375</v>
      </c>
      <c r="I136" s="8">
        <v>6822.5</v>
      </c>
      <c r="J136" s="8">
        <f t="shared" si="13"/>
        <v>1016552.5</v>
      </c>
      <c r="K136" s="8">
        <v>327480</v>
      </c>
      <c r="L136" s="8">
        <f t="shared" si="14"/>
        <v>689072.5</v>
      </c>
      <c r="M136" s="9">
        <v>41974</v>
      </c>
      <c r="N136" s="10">
        <f t="shared" si="15"/>
        <v>12</v>
      </c>
      <c r="O136" s="8" t="str">
        <f t="shared" si="16"/>
        <v>December</v>
      </c>
      <c r="P136" s="7">
        <f t="shared" si="17"/>
        <v>2014</v>
      </c>
    </row>
    <row r="137" spans="1:16" ht="15.75" customHeight="1" x14ac:dyDescent="0.3">
      <c r="A137" s="11" t="s">
        <v>16</v>
      </c>
      <c r="B137" s="11" t="s">
        <v>28</v>
      </c>
      <c r="C137" s="12" t="s">
        <v>31</v>
      </c>
      <c r="D137" s="12" t="s">
        <v>33</v>
      </c>
      <c r="E137" s="11">
        <v>266</v>
      </c>
      <c r="F137" s="12">
        <v>250</v>
      </c>
      <c r="G137" s="12">
        <v>350</v>
      </c>
      <c r="H137" s="8">
        <f t="shared" si="12"/>
        <v>159600</v>
      </c>
      <c r="I137" s="12">
        <v>1862</v>
      </c>
      <c r="J137" s="8">
        <f t="shared" si="13"/>
        <v>157738</v>
      </c>
      <c r="K137" s="12">
        <v>69160</v>
      </c>
      <c r="L137" s="8">
        <f t="shared" si="14"/>
        <v>88578</v>
      </c>
      <c r="M137" s="13">
        <v>41609</v>
      </c>
      <c r="N137" s="10">
        <f t="shared" si="15"/>
        <v>12</v>
      </c>
      <c r="O137" s="8" t="str">
        <f t="shared" si="16"/>
        <v>December</v>
      </c>
      <c r="P137" s="7">
        <f t="shared" si="17"/>
        <v>2013</v>
      </c>
    </row>
    <row r="138" spans="1:16" ht="15.75" customHeight="1" x14ac:dyDescent="0.3">
      <c r="A138" s="7" t="s">
        <v>16</v>
      </c>
      <c r="B138" s="7" t="s">
        <v>23</v>
      </c>
      <c r="C138" s="8" t="s">
        <v>31</v>
      </c>
      <c r="D138" s="8" t="s">
        <v>33</v>
      </c>
      <c r="E138" s="7">
        <v>1940</v>
      </c>
      <c r="F138" s="8">
        <v>250</v>
      </c>
      <c r="G138" s="8">
        <v>350</v>
      </c>
      <c r="H138" s="8">
        <f t="shared" si="12"/>
        <v>1164000</v>
      </c>
      <c r="I138" s="8">
        <v>13580</v>
      </c>
      <c r="J138" s="8">
        <f t="shared" si="13"/>
        <v>1150420</v>
      </c>
      <c r="K138" s="8">
        <v>504400</v>
      </c>
      <c r="L138" s="8">
        <f t="shared" si="14"/>
        <v>646020</v>
      </c>
      <c r="M138" s="9">
        <v>41609</v>
      </c>
      <c r="N138" s="10">
        <f t="shared" si="15"/>
        <v>12</v>
      </c>
      <c r="O138" s="8" t="str">
        <f t="shared" si="16"/>
        <v>December</v>
      </c>
      <c r="P138" s="7">
        <f t="shared" si="17"/>
        <v>2013</v>
      </c>
    </row>
    <row r="139" spans="1:16" ht="15.75" customHeight="1" x14ac:dyDescent="0.3">
      <c r="A139" s="11" t="s">
        <v>27</v>
      </c>
      <c r="B139" s="11" t="s">
        <v>20</v>
      </c>
      <c r="C139" s="12" t="s">
        <v>32</v>
      </c>
      <c r="D139" s="12" t="s">
        <v>33</v>
      </c>
      <c r="E139" s="11">
        <v>259</v>
      </c>
      <c r="F139" s="12">
        <v>260</v>
      </c>
      <c r="G139" s="12">
        <v>300</v>
      </c>
      <c r="H139" s="8">
        <f t="shared" si="12"/>
        <v>145040</v>
      </c>
      <c r="I139" s="12">
        <v>1554</v>
      </c>
      <c r="J139" s="8">
        <f t="shared" si="13"/>
        <v>143486</v>
      </c>
      <c r="K139" s="12">
        <v>64750</v>
      </c>
      <c r="L139" s="8">
        <f t="shared" si="14"/>
        <v>78736</v>
      </c>
      <c r="M139" s="13">
        <v>41699</v>
      </c>
      <c r="N139" s="10">
        <f t="shared" si="15"/>
        <v>3</v>
      </c>
      <c r="O139" s="8" t="str">
        <f t="shared" si="16"/>
        <v>March</v>
      </c>
      <c r="P139" s="7">
        <f t="shared" si="17"/>
        <v>2014</v>
      </c>
    </row>
    <row r="140" spans="1:16" ht="15.75" customHeight="1" x14ac:dyDescent="0.3">
      <c r="A140" s="7" t="s">
        <v>27</v>
      </c>
      <c r="B140" s="7" t="s">
        <v>23</v>
      </c>
      <c r="C140" s="8" t="s">
        <v>32</v>
      </c>
      <c r="D140" s="8" t="s">
        <v>33</v>
      </c>
      <c r="E140" s="7">
        <v>1101</v>
      </c>
      <c r="F140" s="8">
        <v>260</v>
      </c>
      <c r="G140" s="8">
        <v>300</v>
      </c>
      <c r="H140" s="8">
        <f t="shared" si="12"/>
        <v>616560</v>
      </c>
      <c r="I140" s="8">
        <v>6606</v>
      </c>
      <c r="J140" s="8">
        <f t="shared" si="13"/>
        <v>609954</v>
      </c>
      <c r="K140" s="8">
        <v>275250</v>
      </c>
      <c r="L140" s="8">
        <f t="shared" si="14"/>
        <v>334704</v>
      </c>
      <c r="M140" s="9">
        <v>41699</v>
      </c>
      <c r="N140" s="10">
        <f t="shared" si="15"/>
        <v>3</v>
      </c>
      <c r="O140" s="8" t="str">
        <f t="shared" si="16"/>
        <v>March</v>
      </c>
      <c r="P140" s="7">
        <f t="shared" si="17"/>
        <v>2014</v>
      </c>
    </row>
    <row r="141" spans="1:16" ht="15.75" customHeight="1" x14ac:dyDescent="0.3">
      <c r="A141" s="11" t="s">
        <v>26</v>
      </c>
      <c r="B141" s="11" t="s">
        <v>20</v>
      </c>
      <c r="C141" s="12" t="s">
        <v>32</v>
      </c>
      <c r="D141" s="12" t="s">
        <v>33</v>
      </c>
      <c r="E141" s="11">
        <v>2276</v>
      </c>
      <c r="F141" s="12">
        <v>260</v>
      </c>
      <c r="G141" s="12">
        <v>125</v>
      </c>
      <c r="H141" s="8">
        <f t="shared" si="12"/>
        <v>876260</v>
      </c>
      <c r="I141" s="12">
        <v>5690</v>
      </c>
      <c r="J141" s="8">
        <f t="shared" si="13"/>
        <v>870570</v>
      </c>
      <c r="K141" s="12">
        <v>273120</v>
      </c>
      <c r="L141" s="8">
        <f t="shared" si="14"/>
        <v>597450</v>
      </c>
      <c r="M141" s="13">
        <v>41760</v>
      </c>
      <c r="N141" s="10">
        <f t="shared" si="15"/>
        <v>5</v>
      </c>
      <c r="O141" s="8" t="str">
        <f t="shared" si="16"/>
        <v>May</v>
      </c>
      <c r="P141" s="7">
        <f t="shared" si="17"/>
        <v>2014</v>
      </c>
    </row>
    <row r="142" spans="1:16" ht="15.75" customHeight="1" x14ac:dyDescent="0.3">
      <c r="A142" s="7" t="s">
        <v>16</v>
      </c>
      <c r="B142" s="7" t="s">
        <v>20</v>
      </c>
      <c r="C142" s="8" t="s">
        <v>32</v>
      </c>
      <c r="D142" s="8" t="s">
        <v>33</v>
      </c>
      <c r="E142" s="7">
        <v>2966</v>
      </c>
      <c r="F142" s="8">
        <v>260</v>
      </c>
      <c r="G142" s="8">
        <v>350</v>
      </c>
      <c r="H142" s="8">
        <f t="shared" si="12"/>
        <v>1809260</v>
      </c>
      <c r="I142" s="8">
        <v>20762</v>
      </c>
      <c r="J142" s="8">
        <f t="shared" si="13"/>
        <v>1788498</v>
      </c>
      <c r="K142" s="8">
        <v>771160</v>
      </c>
      <c r="L142" s="8">
        <f t="shared" si="14"/>
        <v>1017338</v>
      </c>
      <c r="M142" s="9">
        <v>41548</v>
      </c>
      <c r="N142" s="10">
        <f t="shared" si="15"/>
        <v>10</v>
      </c>
      <c r="O142" s="8" t="str">
        <f t="shared" si="16"/>
        <v>October</v>
      </c>
      <c r="P142" s="7">
        <f t="shared" si="17"/>
        <v>2013</v>
      </c>
    </row>
    <row r="143" spans="1:16" ht="15.75" customHeight="1" x14ac:dyDescent="0.3">
      <c r="A143" s="11" t="s">
        <v>16</v>
      </c>
      <c r="B143" s="11" t="s">
        <v>28</v>
      </c>
      <c r="C143" s="12" t="s">
        <v>32</v>
      </c>
      <c r="D143" s="12" t="s">
        <v>33</v>
      </c>
      <c r="E143" s="11">
        <v>1236</v>
      </c>
      <c r="F143" s="12">
        <v>260</v>
      </c>
      <c r="G143" s="12">
        <v>20</v>
      </c>
      <c r="H143" s="8">
        <f t="shared" si="12"/>
        <v>346080</v>
      </c>
      <c r="I143" s="12">
        <v>494.4</v>
      </c>
      <c r="J143" s="8">
        <f t="shared" si="13"/>
        <v>345585.6</v>
      </c>
      <c r="K143" s="12">
        <v>12360</v>
      </c>
      <c r="L143" s="8">
        <f t="shared" si="14"/>
        <v>333225.59999999998</v>
      </c>
      <c r="M143" s="13">
        <v>41944</v>
      </c>
      <c r="N143" s="10">
        <f t="shared" si="15"/>
        <v>11</v>
      </c>
      <c r="O143" s="8" t="str">
        <f t="shared" si="16"/>
        <v>November</v>
      </c>
      <c r="P143" s="7">
        <f t="shared" si="17"/>
        <v>2014</v>
      </c>
    </row>
    <row r="144" spans="1:16" ht="15.75" customHeight="1" x14ac:dyDescent="0.3">
      <c r="A144" s="7" t="s">
        <v>16</v>
      </c>
      <c r="B144" s="7" t="s">
        <v>22</v>
      </c>
      <c r="C144" s="8" t="s">
        <v>32</v>
      </c>
      <c r="D144" s="8" t="s">
        <v>33</v>
      </c>
      <c r="E144" s="7">
        <v>941</v>
      </c>
      <c r="F144" s="8">
        <v>260</v>
      </c>
      <c r="G144" s="8">
        <v>20</v>
      </c>
      <c r="H144" s="8">
        <f t="shared" si="12"/>
        <v>263480</v>
      </c>
      <c r="I144" s="8">
        <v>376.4</v>
      </c>
      <c r="J144" s="8">
        <f t="shared" si="13"/>
        <v>263103.59999999998</v>
      </c>
      <c r="K144" s="8">
        <v>9410</v>
      </c>
      <c r="L144" s="8">
        <f t="shared" si="14"/>
        <v>253693.59999999998</v>
      </c>
      <c r="M144" s="9">
        <v>41944</v>
      </c>
      <c r="N144" s="10">
        <f t="shared" si="15"/>
        <v>11</v>
      </c>
      <c r="O144" s="8" t="str">
        <f t="shared" si="16"/>
        <v>November</v>
      </c>
      <c r="P144" s="7">
        <f t="shared" si="17"/>
        <v>2014</v>
      </c>
    </row>
    <row r="145" spans="1:16" ht="15.75" customHeight="1" x14ac:dyDescent="0.3">
      <c r="A145" s="11" t="s">
        <v>27</v>
      </c>
      <c r="B145" s="11" t="s">
        <v>17</v>
      </c>
      <c r="C145" s="12" t="s">
        <v>32</v>
      </c>
      <c r="D145" s="12" t="s">
        <v>33</v>
      </c>
      <c r="E145" s="11">
        <v>1916</v>
      </c>
      <c r="F145" s="12">
        <v>260</v>
      </c>
      <c r="G145" s="12">
        <v>300</v>
      </c>
      <c r="H145" s="8">
        <f t="shared" si="12"/>
        <v>1072960</v>
      </c>
      <c r="I145" s="12">
        <v>11496</v>
      </c>
      <c r="J145" s="8">
        <f t="shared" si="13"/>
        <v>1061464</v>
      </c>
      <c r="K145" s="12">
        <v>479000</v>
      </c>
      <c r="L145" s="8">
        <f t="shared" si="14"/>
        <v>582464</v>
      </c>
      <c r="M145" s="13">
        <v>41974</v>
      </c>
      <c r="N145" s="10">
        <f t="shared" si="15"/>
        <v>12</v>
      </c>
      <c r="O145" s="8" t="str">
        <f t="shared" si="16"/>
        <v>December</v>
      </c>
      <c r="P145" s="7">
        <f t="shared" si="17"/>
        <v>2014</v>
      </c>
    </row>
    <row r="146" spans="1:16" ht="15.75" customHeight="1" x14ac:dyDescent="0.3">
      <c r="A146" s="7" t="s">
        <v>26</v>
      </c>
      <c r="B146" s="7" t="s">
        <v>22</v>
      </c>
      <c r="C146" s="8" t="s">
        <v>18</v>
      </c>
      <c r="D146" s="8" t="s">
        <v>33</v>
      </c>
      <c r="E146" s="7">
        <v>4243.5</v>
      </c>
      <c r="F146" s="8">
        <v>3</v>
      </c>
      <c r="G146" s="8">
        <v>125</v>
      </c>
      <c r="H146" s="8">
        <f t="shared" si="12"/>
        <v>543168</v>
      </c>
      <c r="I146" s="8">
        <v>15913.125</v>
      </c>
      <c r="J146" s="8">
        <f t="shared" si="13"/>
        <v>527254.875</v>
      </c>
      <c r="K146" s="8">
        <v>509220</v>
      </c>
      <c r="L146" s="8">
        <f t="shared" si="14"/>
        <v>18034.875</v>
      </c>
      <c r="M146" s="9">
        <v>41730</v>
      </c>
      <c r="N146" s="10">
        <f t="shared" si="15"/>
        <v>4</v>
      </c>
      <c r="O146" s="8" t="str">
        <f t="shared" si="16"/>
        <v>April</v>
      </c>
      <c r="P146" s="7">
        <f t="shared" si="17"/>
        <v>2014</v>
      </c>
    </row>
    <row r="147" spans="1:16" ht="15.75" customHeight="1" x14ac:dyDescent="0.3">
      <c r="A147" s="11" t="s">
        <v>16</v>
      </c>
      <c r="B147" s="11" t="s">
        <v>20</v>
      </c>
      <c r="C147" s="12" t="s">
        <v>18</v>
      </c>
      <c r="D147" s="12" t="s">
        <v>33</v>
      </c>
      <c r="E147" s="11">
        <v>2580</v>
      </c>
      <c r="F147" s="12">
        <v>3</v>
      </c>
      <c r="G147" s="12">
        <v>20</v>
      </c>
      <c r="H147" s="8">
        <f t="shared" si="12"/>
        <v>59340</v>
      </c>
      <c r="I147" s="12">
        <v>1548</v>
      </c>
      <c r="J147" s="8">
        <f t="shared" si="13"/>
        <v>57792</v>
      </c>
      <c r="K147" s="12">
        <v>25800</v>
      </c>
      <c r="L147" s="8">
        <f t="shared" si="14"/>
        <v>31992</v>
      </c>
      <c r="M147" s="13">
        <v>41730</v>
      </c>
      <c r="N147" s="10">
        <f t="shared" si="15"/>
        <v>4</v>
      </c>
      <c r="O147" s="8" t="str">
        <f t="shared" si="16"/>
        <v>April</v>
      </c>
      <c r="P147" s="7">
        <f t="shared" si="17"/>
        <v>2014</v>
      </c>
    </row>
    <row r="148" spans="1:16" ht="15.75" customHeight="1" x14ac:dyDescent="0.3">
      <c r="A148" s="7" t="s">
        <v>27</v>
      </c>
      <c r="B148" s="7" t="s">
        <v>20</v>
      </c>
      <c r="C148" s="8" t="s">
        <v>18</v>
      </c>
      <c r="D148" s="8" t="s">
        <v>33</v>
      </c>
      <c r="E148" s="7">
        <v>689</v>
      </c>
      <c r="F148" s="8">
        <v>3</v>
      </c>
      <c r="G148" s="8">
        <v>300</v>
      </c>
      <c r="H148" s="8">
        <f t="shared" si="12"/>
        <v>208767</v>
      </c>
      <c r="I148" s="8">
        <v>6201</v>
      </c>
      <c r="J148" s="8">
        <f t="shared" si="13"/>
        <v>202566</v>
      </c>
      <c r="K148" s="8">
        <v>172250</v>
      </c>
      <c r="L148" s="8">
        <f t="shared" si="14"/>
        <v>30316</v>
      </c>
      <c r="M148" s="9">
        <v>41791</v>
      </c>
      <c r="N148" s="10">
        <f t="shared" si="15"/>
        <v>6</v>
      </c>
      <c r="O148" s="8" t="str">
        <f t="shared" si="16"/>
        <v>June</v>
      </c>
      <c r="P148" s="7">
        <f t="shared" si="17"/>
        <v>2014</v>
      </c>
    </row>
    <row r="149" spans="1:16" ht="15.75" customHeight="1" x14ac:dyDescent="0.3">
      <c r="A149" s="11" t="s">
        <v>25</v>
      </c>
      <c r="B149" s="11" t="s">
        <v>28</v>
      </c>
      <c r="C149" s="12" t="s">
        <v>18</v>
      </c>
      <c r="D149" s="12" t="s">
        <v>33</v>
      </c>
      <c r="E149" s="11">
        <v>1947</v>
      </c>
      <c r="F149" s="12">
        <v>3</v>
      </c>
      <c r="G149" s="12">
        <v>12</v>
      </c>
      <c r="H149" s="8">
        <f t="shared" si="12"/>
        <v>29205</v>
      </c>
      <c r="I149" s="12">
        <v>700.92</v>
      </c>
      <c r="J149" s="8">
        <f t="shared" si="13"/>
        <v>28504.080000000002</v>
      </c>
      <c r="K149" s="12">
        <v>5841</v>
      </c>
      <c r="L149" s="8">
        <f t="shared" si="14"/>
        <v>22663.08</v>
      </c>
      <c r="M149" s="13">
        <v>41883</v>
      </c>
      <c r="N149" s="10">
        <f t="shared" si="15"/>
        <v>9</v>
      </c>
      <c r="O149" s="8" t="str">
        <f t="shared" si="16"/>
        <v>September</v>
      </c>
      <c r="P149" s="7">
        <f t="shared" si="17"/>
        <v>2014</v>
      </c>
    </row>
    <row r="150" spans="1:16" ht="15.75" customHeight="1" x14ac:dyDescent="0.3">
      <c r="A150" s="7" t="s">
        <v>25</v>
      </c>
      <c r="B150" s="7" t="s">
        <v>17</v>
      </c>
      <c r="C150" s="8" t="s">
        <v>18</v>
      </c>
      <c r="D150" s="8" t="s">
        <v>33</v>
      </c>
      <c r="E150" s="7">
        <v>908</v>
      </c>
      <c r="F150" s="8">
        <v>3</v>
      </c>
      <c r="G150" s="8">
        <v>12</v>
      </c>
      <c r="H150" s="8">
        <f t="shared" si="12"/>
        <v>13620</v>
      </c>
      <c r="I150" s="8">
        <v>326.88</v>
      </c>
      <c r="J150" s="8">
        <f t="shared" si="13"/>
        <v>13293.12</v>
      </c>
      <c r="K150" s="8">
        <v>2724</v>
      </c>
      <c r="L150" s="8">
        <f t="shared" si="14"/>
        <v>10569.12</v>
      </c>
      <c r="M150" s="9">
        <v>41609</v>
      </c>
      <c r="N150" s="10">
        <f t="shared" si="15"/>
        <v>12</v>
      </c>
      <c r="O150" s="8" t="str">
        <f t="shared" si="16"/>
        <v>December</v>
      </c>
      <c r="P150" s="7">
        <f t="shared" si="17"/>
        <v>2013</v>
      </c>
    </row>
    <row r="151" spans="1:16" ht="15.75" customHeight="1" x14ac:dyDescent="0.3">
      <c r="A151" s="11" t="s">
        <v>16</v>
      </c>
      <c r="B151" s="11" t="s">
        <v>20</v>
      </c>
      <c r="C151" s="12" t="s">
        <v>24</v>
      </c>
      <c r="D151" s="12" t="s">
        <v>33</v>
      </c>
      <c r="E151" s="11">
        <v>1958</v>
      </c>
      <c r="F151" s="12">
        <v>5</v>
      </c>
      <c r="G151" s="12">
        <v>7</v>
      </c>
      <c r="H151" s="8">
        <f t="shared" si="12"/>
        <v>23496</v>
      </c>
      <c r="I151" s="12">
        <v>411.18</v>
      </c>
      <c r="J151" s="8">
        <f t="shared" si="13"/>
        <v>23084.82</v>
      </c>
      <c r="K151" s="12">
        <v>9790</v>
      </c>
      <c r="L151" s="8">
        <f t="shared" si="14"/>
        <v>13294.82</v>
      </c>
      <c r="M151" s="13">
        <v>41671</v>
      </c>
      <c r="N151" s="10">
        <f t="shared" si="15"/>
        <v>2</v>
      </c>
      <c r="O151" s="8" t="str">
        <f t="shared" si="16"/>
        <v>February</v>
      </c>
      <c r="P151" s="7">
        <f t="shared" si="17"/>
        <v>2014</v>
      </c>
    </row>
    <row r="152" spans="1:16" ht="15.75" customHeight="1" x14ac:dyDescent="0.3">
      <c r="A152" s="7" t="s">
        <v>25</v>
      </c>
      <c r="B152" s="7" t="s">
        <v>22</v>
      </c>
      <c r="C152" s="8" t="s">
        <v>24</v>
      </c>
      <c r="D152" s="8" t="s">
        <v>33</v>
      </c>
      <c r="E152" s="7">
        <v>1901</v>
      </c>
      <c r="F152" s="8">
        <v>5</v>
      </c>
      <c r="G152" s="8">
        <v>12</v>
      </c>
      <c r="H152" s="8">
        <f t="shared" si="12"/>
        <v>32317</v>
      </c>
      <c r="I152" s="8">
        <v>684.36</v>
      </c>
      <c r="J152" s="8">
        <f t="shared" si="13"/>
        <v>31632.639999999999</v>
      </c>
      <c r="K152" s="8">
        <v>5703</v>
      </c>
      <c r="L152" s="8">
        <f t="shared" si="14"/>
        <v>25929.64</v>
      </c>
      <c r="M152" s="9">
        <v>41791</v>
      </c>
      <c r="N152" s="10">
        <f t="shared" si="15"/>
        <v>6</v>
      </c>
      <c r="O152" s="8" t="str">
        <f t="shared" si="16"/>
        <v>June</v>
      </c>
      <c r="P152" s="7">
        <f t="shared" si="17"/>
        <v>2014</v>
      </c>
    </row>
    <row r="153" spans="1:16" ht="15.75" customHeight="1" x14ac:dyDescent="0.3">
      <c r="A153" s="11" t="s">
        <v>16</v>
      </c>
      <c r="B153" s="11" t="s">
        <v>22</v>
      </c>
      <c r="C153" s="12" t="s">
        <v>24</v>
      </c>
      <c r="D153" s="12" t="s">
        <v>33</v>
      </c>
      <c r="E153" s="11">
        <v>544</v>
      </c>
      <c r="F153" s="12">
        <v>5</v>
      </c>
      <c r="G153" s="12">
        <v>7</v>
      </c>
      <c r="H153" s="8">
        <f t="shared" si="12"/>
        <v>6528</v>
      </c>
      <c r="I153" s="12">
        <v>114.24</v>
      </c>
      <c r="J153" s="8">
        <f t="shared" si="13"/>
        <v>6413.76</v>
      </c>
      <c r="K153" s="12">
        <v>2720</v>
      </c>
      <c r="L153" s="8">
        <f t="shared" si="14"/>
        <v>3693.76</v>
      </c>
      <c r="M153" s="13">
        <v>41883</v>
      </c>
      <c r="N153" s="10">
        <f t="shared" si="15"/>
        <v>9</v>
      </c>
      <c r="O153" s="8" t="str">
        <f t="shared" si="16"/>
        <v>September</v>
      </c>
      <c r="P153" s="7">
        <f t="shared" si="17"/>
        <v>2014</v>
      </c>
    </row>
    <row r="154" spans="1:16" ht="15.75" customHeight="1" x14ac:dyDescent="0.3">
      <c r="A154" s="7" t="s">
        <v>16</v>
      </c>
      <c r="B154" s="7" t="s">
        <v>20</v>
      </c>
      <c r="C154" s="8" t="s">
        <v>24</v>
      </c>
      <c r="D154" s="8" t="s">
        <v>33</v>
      </c>
      <c r="E154" s="7">
        <v>1797</v>
      </c>
      <c r="F154" s="8">
        <v>5</v>
      </c>
      <c r="G154" s="8">
        <v>350</v>
      </c>
      <c r="H154" s="8">
        <f t="shared" si="12"/>
        <v>637935</v>
      </c>
      <c r="I154" s="8">
        <v>18868.5</v>
      </c>
      <c r="J154" s="8">
        <f t="shared" si="13"/>
        <v>619066.5</v>
      </c>
      <c r="K154" s="8">
        <v>467220</v>
      </c>
      <c r="L154" s="8">
        <f t="shared" si="14"/>
        <v>151846.5</v>
      </c>
      <c r="M154" s="9">
        <v>41518</v>
      </c>
      <c r="N154" s="10">
        <f t="shared" si="15"/>
        <v>9</v>
      </c>
      <c r="O154" s="8" t="str">
        <f t="shared" si="16"/>
        <v>September</v>
      </c>
      <c r="P154" s="7">
        <f t="shared" si="17"/>
        <v>2013</v>
      </c>
    </row>
    <row r="155" spans="1:16" ht="15.75" customHeight="1" x14ac:dyDescent="0.3">
      <c r="A155" s="11" t="s">
        <v>26</v>
      </c>
      <c r="B155" s="11" t="s">
        <v>22</v>
      </c>
      <c r="C155" s="12" t="s">
        <v>24</v>
      </c>
      <c r="D155" s="12" t="s">
        <v>33</v>
      </c>
      <c r="E155" s="11">
        <v>1287</v>
      </c>
      <c r="F155" s="12">
        <v>5</v>
      </c>
      <c r="G155" s="12">
        <v>125</v>
      </c>
      <c r="H155" s="8">
        <f t="shared" si="12"/>
        <v>167310</v>
      </c>
      <c r="I155" s="12">
        <v>4826.25</v>
      </c>
      <c r="J155" s="8">
        <f t="shared" si="13"/>
        <v>162483.75</v>
      </c>
      <c r="K155" s="12">
        <v>154440</v>
      </c>
      <c r="L155" s="8">
        <f t="shared" si="14"/>
        <v>8043.75</v>
      </c>
      <c r="M155" s="13">
        <v>41974</v>
      </c>
      <c r="N155" s="10">
        <f t="shared" si="15"/>
        <v>12</v>
      </c>
      <c r="O155" s="8" t="str">
        <f t="shared" si="16"/>
        <v>December</v>
      </c>
      <c r="P155" s="7">
        <f t="shared" si="17"/>
        <v>2014</v>
      </c>
    </row>
    <row r="156" spans="1:16" ht="15.75" customHeight="1" x14ac:dyDescent="0.3">
      <c r="A156" s="7" t="s">
        <v>26</v>
      </c>
      <c r="B156" s="7" t="s">
        <v>20</v>
      </c>
      <c r="C156" s="8" t="s">
        <v>24</v>
      </c>
      <c r="D156" s="8" t="s">
        <v>33</v>
      </c>
      <c r="E156" s="7">
        <v>1706</v>
      </c>
      <c r="F156" s="8">
        <v>5</v>
      </c>
      <c r="G156" s="8">
        <v>125</v>
      </c>
      <c r="H156" s="8">
        <f t="shared" si="12"/>
        <v>221780</v>
      </c>
      <c r="I156" s="8">
        <v>6397.5</v>
      </c>
      <c r="J156" s="8">
        <f t="shared" si="13"/>
        <v>215382.5</v>
      </c>
      <c r="K156" s="8">
        <v>204720</v>
      </c>
      <c r="L156" s="8">
        <f t="shared" si="14"/>
        <v>10662.5</v>
      </c>
      <c r="M156" s="9">
        <v>41974</v>
      </c>
      <c r="N156" s="10">
        <f t="shared" si="15"/>
        <v>12</v>
      </c>
      <c r="O156" s="8" t="str">
        <f t="shared" si="16"/>
        <v>December</v>
      </c>
      <c r="P156" s="7">
        <f t="shared" si="17"/>
        <v>2014</v>
      </c>
    </row>
    <row r="157" spans="1:16" ht="15.75" customHeight="1" x14ac:dyDescent="0.3">
      <c r="A157" s="11" t="s">
        <v>27</v>
      </c>
      <c r="B157" s="11" t="s">
        <v>22</v>
      </c>
      <c r="C157" s="12" t="s">
        <v>29</v>
      </c>
      <c r="D157" s="12" t="s">
        <v>33</v>
      </c>
      <c r="E157" s="11">
        <v>2434.5</v>
      </c>
      <c r="F157" s="12">
        <v>10</v>
      </c>
      <c r="G157" s="12">
        <v>300</v>
      </c>
      <c r="H157" s="8">
        <f t="shared" si="12"/>
        <v>754695</v>
      </c>
      <c r="I157" s="12">
        <v>21910.5</v>
      </c>
      <c r="J157" s="8">
        <f t="shared" si="13"/>
        <v>732784.5</v>
      </c>
      <c r="K157" s="12">
        <v>608625</v>
      </c>
      <c r="L157" s="8">
        <f t="shared" si="14"/>
        <v>124159.5</v>
      </c>
      <c r="M157" s="13">
        <v>41640</v>
      </c>
      <c r="N157" s="10">
        <f t="shared" si="15"/>
        <v>1</v>
      </c>
      <c r="O157" s="8" t="str">
        <f t="shared" si="16"/>
        <v>January</v>
      </c>
      <c r="P157" s="7">
        <f t="shared" si="17"/>
        <v>2014</v>
      </c>
    </row>
    <row r="158" spans="1:16" ht="15.75" customHeight="1" x14ac:dyDescent="0.3">
      <c r="A158" s="7" t="s">
        <v>26</v>
      </c>
      <c r="B158" s="7" t="s">
        <v>17</v>
      </c>
      <c r="C158" s="8" t="s">
        <v>29</v>
      </c>
      <c r="D158" s="8" t="s">
        <v>33</v>
      </c>
      <c r="E158" s="7">
        <v>1774</v>
      </c>
      <c r="F158" s="8">
        <v>10</v>
      </c>
      <c r="G158" s="8">
        <v>125</v>
      </c>
      <c r="H158" s="8">
        <f t="shared" si="12"/>
        <v>239490</v>
      </c>
      <c r="I158" s="8">
        <v>6652.5</v>
      </c>
      <c r="J158" s="8">
        <f t="shared" si="13"/>
        <v>232837.5</v>
      </c>
      <c r="K158" s="8">
        <v>212880</v>
      </c>
      <c r="L158" s="8">
        <f t="shared" si="14"/>
        <v>19957.5</v>
      </c>
      <c r="M158" s="9">
        <v>41699</v>
      </c>
      <c r="N158" s="10">
        <f t="shared" si="15"/>
        <v>3</v>
      </c>
      <c r="O158" s="8" t="str">
        <f t="shared" si="16"/>
        <v>March</v>
      </c>
      <c r="P158" s="7">
        <f t="shared" si="17"/>
        <v>2014</v>
      </c>
    </row>
    <row r="159" spans="1:16" ht="15.75" customHeight="1" x14ac:dyDescent="0.3">
      <c r="A159" s="11" t="s">
        <v>25</v>
      </c>
      <c r="B159" s="11" t="s">
        <v>22</v>
      </c>
      <c r="C159" s="12" t="s">
        <v>29</v>
      </c>
      <c r="D159" s="12" t="s">
        <v>33</v>
      </c>
      <c r="E159" s="11">
        <v>1901</v>
      </c>
      <c r="F159" s="12">
        <v>10</v>
      </c>
      <c r="G159" s="12">
        <v>12</v>
      </c>
      <c r="H159" s="8">
        <f t="shared" si="12"/>
        <v>41822</v>
      </c>
      <c r="I159" s="12">
        <v>684.36</v>
      </c>
      <c r="J159" s="8">
        <f t="shared" si="13"/>
        <v>41137.64</v>
      </c>
      <c r="K159" s="12">
        <v>5703</v>
      </c>
      <c r="L159" s="8">
        <f t="shared" si="14"/>
        <v>35434.639999999999</v>
      </c>
      <c r="M159" s="13">
        <v>41791</v>
      </c>
      <c r="N159" s="10">
        <f t="shared" si="15"/>
        <v>6</v>
      </c>
      <c r="O159" s="8" t="str">
        <f t="shared" si="16"/>
        <v>June</v>
      </c>
      <c r="P159" s="7">
        <f t="shared" si="17"/>
        <v>2014</v>
      </c>
    </row>
    <row r="160" spans="1:16" ht="15.75" customHeight="1" x14ac:dyDescent="0.3">
      <c r="A160" s="7" t="s">
        <v>27</v>
      </c>
      <c r="B160" s="7" t="s">
        <v>20</v>
      </c>
      <c r="C160" s="8" t="s">
        <v>29</v>
      </c>
      <c r="D160" s="8" t="s">
        <v>33</v>
      </c>
      <c r="E160" s="7">
        <v>689</v>
      </c>
      <c r="F160" s="8">
        <v>10</v>
      </c>
      <c r="G160" s="8">
        <v>300</v>
      </c>
      <c r="H160" s="8">
        <f t="shared" si="12"/>
        <v>213590</v>
      </c>
      <c r="I160" s="8">
        <v>6201</v>
      </c>
      <c r="J160" s="8">
        <f t="shared" si="13"/>
        <v>207389</v>
      </c>
      <c r="K160" s="8">
        <v>172250</v>
      </c>
      <c r="L160" s="8">
        <f t="shared" si="14"/>
        <v>35139</v>
      </c>
      <c r="M160" s="9">
        <v>41791</v>
      </c>
      <c r="N160" s="10">
        <f t="shared" si="15"/>
        <v>6</v>
      </c>
      <c r="O160" s="8" t="str">
        <f t="shared" si="16"/>
        <v>June</v>
      </c>
      <c r="P160" s="7">
        <f t="shared" si="17"/>
        <v>2014</v>
      </c>
    </row>
    <row r="161" spans="1:16" ht="15.75" customHeight="1" x14ac:dyDescent="0.3">
      <c r="A161" s="11" t="s">
        <v>26</v>
      </c>
      <c r="B161" s="11" t="s">
        <v>20</v>
      </c>
      <c r="C161" s="12" t="s">
        <v>29</v>
      </c>
      <c r="D161" s="12" t="s">
        <v>33</v>
      </c>
      <c r="E161" s="11">
        <v>1570</v>
      </c>
      <c r="F161" s="12">
        <v>10</v>
      </c>
      <c r="G161" s="12">
        <v>125</v>
      </c>
      <c r="H161" s="8">
        <f t="shared" si="12"/>
        <v>211950</v>
      </c>
      <c r="I161" s="12">
        <v>5887.5</v>
      </c>
      <c r="J161" s="8">
        <f t="shared" si="13"/>
        <v>206062.5</v>
      </c>
      <c r="K161" s="12">
        <v>188400</v>
      </c>
      <c r="L161" s="8">
        <f t="shared" si="14"/>
        <v>17662.5</v>
      </c>
      <c r="M161" s="13">
        <v>41791</v>
      </c>
      <c r="N161" s="10">
        <f t="shared" si="15"/>
        <v>6</v>
      </c>
      <c r="O161" s="8" t="str">
        <f t="shared" si="16"/>
        <v>June</v>
      </c>
      <c r="P161" s="7">
        <f t="shared" si="17"/>
        <v>2014</v>
      </c>
    </row>
    <row r="162" spans="1:16" ht="15.75" customHeight="1" x14ac:dyDescent="0.3">
      <c r="A162" s="7" t="s">
        <v>25</v>
      </c>
      <c r="B162" s="7" t="s">
        <v>28</v>
      </c>
      <c r="C162" s="8" t="s">
        <v>29</v>
      </c>
      <c r="D162" s="8" t="s">
        <v>33</v>
      </c>
      <c r="E162" s="7">
        <v>1369.5</v>
      </c>
      <c r="F162" s="8">
        <v>10</v>
      </c>
      <c r="G162" s="8">
        <v>12</v>
      </c>
      <c r="H162" s="8">
        <f t="shared" si="12"/>
        <v>30129</v>
      </c>
      <c r="I162" s="8">
        <v>493.02</v>
      </c>
      <c r="J162" s="8">
        <f t="shared" si="13"/>
        <v>29635.98</v>
      </c>
      <c r="K162" s="8">
        <v>4108.5</v>
      </c>
      <c r="L162" s="8">
        <f t="shared" si="14"/>
        <v>25527.48</v>
      </c>
      <c r="M162" s="9">
        <v>41821</v>
      </c>
      <c r="N162" s="10">
        <f t="shared" si="15"/>
        <v>7</v>
      </c>
      <c r="O162" s="8" t="str">
        <f t="shared" si="16"/>
        <v>July</v>
      </c>
      <c r="P162" s="7">
        <f t="shared" si="17"/>
        <v>2014</v>
      </c>
    </row>
    <row r="163" spans="1:16" ht="15.75" customHeight="1" x14ac:dyDescent="0.3">
      <c r="A163" s="11" t="s">
        <v>26</v>
      </c>
      <c r="B163" s="11" t="s">
        <v>17</v>
      </c>
      <c r="C163" s="12" t="s">
        <v>29</v>
      </c>
      <c r="D163" s="12" t="s">
        <v>33</v>
      </c>
      <c r="E163" s="11">
        <v>2009</v>
      </c>
      <c r="F163" s="12">
        <v>10</v>
      </c>
      <c r="G163" s="12">
        <v>125</v>
      </c>
      <c r="H163" s="8">
        <f t="shared" si="12"/>
        <v>271215</v>
      </c>
      <c r="I163" s="12">
        <v>7533.75</v>
      </c>
      <c r="J163" s="8">
        <f t="shared" si="13"/>
        <v>263681.25</v>
      </c>
      <c r="K163" s="12">
        <v>241080</v>
      </c>
      <c r="L163" s="8">
        <f t="shared" si="14"/>
        <v>22601.25</v>
      </c>
      <c r="M163" s="13">
        <v>41913</v>
      </c>
      <c r="N163" s="10">
        <f t="shared" si="15"/>
        <v>10</v>
      </c>
      <c r="O163" s="8" t="str">
        <f t="shared" si="16"/>
        <v>October</v>
      </c>
      <c r="P163" s="7">
        <f t="shared" si="17"/>
        <v>2014</v>
      </c>
    </row>
    <row r="164" spans="1:16" ht="15.75" customHeight="1" x14ac:dyDescent="0.3">
      <c r="A164" s="7" t="s">
        <v>21</v>
      </c>
      <c r="B164" s="7" t="s">
        <v>20</v>
      </c>
      <c r="C164" s="8" t="s">
        <v>29</v>
      </c>
      <c r="D164" s="8" t="s">
        <v>33</v>
      </c>
      <c r="E164" s="7">
        <v>1945</v>
      </c>
      <c r="F164" s="8">
        <v>10</v>
      </c>
      <c r="G164" s="8">
        <v>15</v>
      </c>
      <c r="H164" s="8">
        <f t="shared" si="12"/>
        <v>48625</v>
      </c>
      <c r="I164" s="8">
        <v>875.25</v>
      </c>
      <c r="J164" s="8">
        <f t="shared" si="13"/>
        <v>47749.75</v>
      </c>
      <c r="K164" s="8">
        <v>19450</v>
      </c>
      <c r="L164" s="8">
        <f t="shared" si="14"/>
        <v>28299.75</v>
      </c>
      <c r="M164" s="9">
        <v>41548</v>
      </c>
      <c r="N164" s="10">
        <f t="shared" si="15"/>
        <v>10</v>
      </c>
      <c r="O164" s="8" t="str">
        <f t="shared" si="16"/>
        <v>October</v>
      </c>
      <c r="P164" s="7">
        <f t="shared" si="17"/>
        <v>2013</v>
      </c>
    </row>
    <row r="165" spans="1:16" ht="15.75" customHeight="1" x14ac:dyDescent="0.3">
      <c r="A165" s="11" t="s">
        <v>26</v>
      </c>
      <c r="B165" s="11" t="s">
        <v>22</v>
      </c>
      <c r="C165" s="12" t="s">
        <v>29</v>
      </c>
      <c r="D165" s="12" t="s">
        <v>33</v>
      </c>
      <c r="E165" s="11">
        <v>1287</v>
      </c>
      <c r="F165" s="12">
        <v>10</v>
      </c>
      <c r="G165" s="12">
        <v>125</v>
      </c>
      <c r="H165" s="8">
        <f t="shared" si="12"/>
        <v>173745</v>
      </c>
      <c r="I165" s="12">
        <v>4826.25</v>
      </c>
      <c r="J165" s="8">
        <f t="shared" si="13"/>
        <v>168918.75</v>
      </c>
      <c r="K165" s="12">
        <v>154440</v>
      </c>
      <c r="L165" s="8">
        <f t="shared" si="14"/>
        <v>14478.75</v>
      </c>
      <c r="M165" s="13">
        <v>41974</v>
      </c>
      <c r="N165" s="10">
        <f t="shared" si="15"/>
        <v>12</v>
      </c>
      <c r="O165" s="8" t="str">
        <f t="shared" si="16"/>
        <v>December</v>
      </c>
      <c r="P165" s="7">
        <f t="shared" si="17"/>
        <v>2014</v>
      </c>
    </row>
    <row r="166" spans="1:16" ht="15.75" customHeight="1" x14ac:dyDescent="0.3">
      <c r="A166" s="7" t="s">
        <v>26</v>
      </c>
      <c r="B166" s="7" t="s">
        <v>20</v>
      </c>
      <c r="C166" s="8" t="s">
        <v>29</v>
      </c>
      <c r="D166" s="8" t="s">
        <v>33</v>
      </c>
      <c r="E166" s="7">
        <v>1706</v>
      </c>
      <c r="F166" s="8">
        <v>10</v>
      </c>
      <c r="G166" s="8">
        <v>125</v>
      </c>
      <c r="H166" s="8">
        <f t="shared" si="12"/>
        <v>230310</v>
      </c>
      <c r="I166" s="8">
        <v>6397.5</v>
      </c>
      <c r="J166" s="8">
        <f t="shared" si="13"/>
        <v>223912.5</v>
      </c>
      <c r="K166" s="8">
        <v>204720</v>
      </c>
      <c r="L166" s="8">
        <f t="shared" si="14"/>
        <v>19192.5</v>
      </c>
      <c r="M166" s="9">
        <v>41974</v>
      </c>
      <c r="N166" s="10">
        <f t="shared" si="15"/>
        <v>12</v>
      </c>
      <c r="O166" s="8" t="str">
        <f t="shared" si="16"/>
        <v>December</v>
      </c>
      <c r="P166" s="7">
        <f t="shared" si="17"/>
        <v>2014</v>
      </c>
    </row>
    <row r="167" spans="1:16" ht="15.75" customHeight="1" x14ac:dyDescent="0.3">
      <c r="A167" s="11" t="s">
        <v>26</v>
      </c>
      <c r="B167" s="11" t="s">
        <v>17</v>
      </c>
      <c r="C167" s="12" t="s">
        <v>30</v>
      </c>
      <c r="D167" s="12" t="s">
        <v>33</v>
      </c>
      <c r="E167" s="11">
        <v>2009</v>
      </c>
      <c r="F167" s="12">
        <v>120</v>
      </c>
      <c r="G167" s="12">
        <v>125</v>
      </c>
      <c r="H167" s="8">
        <f t="shared" si="12"/>
        <v>492205</v>
      </c>
      <c r="I167" s="12">
        <v>7533.75</v>
      </c>
      <c r="J167" s="8">
        <f t="shared" si="13"/>
        <v>484671.25</v>
      </c>
      <c r="K167" s="12">
        <v>241080</v>
      </c>
      <c r="L167" s="8">
        <f t="shared" si="14"/>
        <v>243591.25</v>
      </c>
      <c r="M167" s="13">
        <v>41913</v>
      </c>
      <c r="N167" s="10">
        <f t="shared" si="15"/>
        <v>10</v>
      </c>
      <c r="O167" s="8" t="str">
        <f t="shared" si="16"/>
        <v>October</v>
      </c>
      <c r="P167" s="7">
        <f t="shared" si="17"/>
        <v>2014</v>
      </c>
    </row>
    <row r="168" spans="1:16" ht="15.75" customHeight="1" x14ac:dyDescent="0.3">
      <c r="A168" s="7" t="s">
        <v>27</v>
      </c>
      <c r="B168" s="7" t="s">
        <v>28</v>
      </c>
      <c r="C168" s="8" t="s">
        <v>31</v>
      </c>
      <c r="D168" s="8" t="s">
        <v>33</v>
      </c>
      <c r="E168" s="7">
        <v>2844</v>
      </c>
      <c r="F168" s="8">
        <v>250</v>
      </c>
      <c r="G168" s="8">
        <v>300</v>
      </c>
      <c r="H168" s="8">
        <f t="shared" si="12"/>
        <v>1564200</v>
      </c>
      <c r="I168" s="8">
        <v>25596</v>
      </c>
      <c r="J168" s="8">
        <f t="shared" si="13"/>
        <v>1538604</v>
      </c>
      <c r="K168" s="8">
        <v>711000</v>
      </c>
      <c r="L168" s="8">
        <f t="shared" si="14"/>
        <v>827604</v>
      </c>
      <c r="M168" s="9">
        <v>41671</v>
      </c>
      <c r="N168" s="10">
        <f t="shared" si="15"/>
        <v>2</v>
      </c>
      <c r="O168" s="8" t="str">
        <f t="shared" si="16"/>
        <v>February</v>
      </c>
      <c r="P168" s="7">
        <f t="shared" si="17"/>
        <v>2014</v>
      </c>
    </row>
    <row r="169" spans="1:16" ht="15.75" customHeight="1" x14ac:dyDescent="0.3">
      <c r="A169" s="11" t="s">
        <v>25</v>
      </c>
      <c r="B169" s="11" t="s">
        <v>23</v>
      </c>
      <c r="C169" s="12" t="s">
        <v>31</v>
      </c>
      <c r="D169" s="12" t="s">
        <v>33</v>
      </c>
      <c r="E169" s="11">
        <v>1916</v>
      </c>
      <c r="F169" s="12">
        <v>250</v>
      </c>
      <c r="G169" s="12">
        <v>12</v>
      </c>
      <c r="H169" s="8">
        <f t="shared" si="12"/>
        <v>501992</v>
      </c>
      <c r="I169" s="12">
        <v>689.76</v>
      </c>
      <c r="J169" s="8">
        <f t="shared" si="13"/>
        <v>501302.24</v>
      </c>
      <c r="K169" s="12">
        <v>5748</v>
      </c>
      <c r="L169" s="8">
        <f t="shared" si="14"/>
        <v>495554.24</v>
      </c>
      <c r="M169" s="13">
        <v>41730</v>
      </c>
      <c r="N169" s="10">
        <f t="shared" si="15"/>
        <v>4</v>
      </c>
      <c r="O169" s="8" t="str">
        <f t="shared" si="16"/>
        <v>April</v>
      </c>
      <c r="P169" s="7">
        <f t="shared" si="17"/>
        <v>2014</v>
      </c>
    </row>
    <row r="170" spans="1:16" ht="15.75" customHeight="1" x14ac:dyDescent="0.3">
      <c r="A170" s="7" t="s">
        <v>26</v>
      </c>
      <c r="B170" s="7" t="s">
        <v>20</v>
      </c>
      <c r="C170" s="8" t="s">
        <v>31</v>
      </c>
      <c r="D170" s="8" t="s">
        <v>33</v>
      </c>
      <c r="E170" s="7">
        <v>1570</v>
      </c>
      <c r="F170" s="8">
        <v>250</v>
      </c>
      <c r="G170" s="8">
        <v>125</v>
      </c>
      <c r="H170" s="8">
        <f t="shared" si="12"/>
        <v>588750</v>
      </c>
      <c r="I170" s="8">
        <v>5887.5</v>
      </c>
      <c r="J170" s="8">
        <f t="shared" si="13"/>
        <v>582862.5</v>
      </c>
      <c r="K170" s="8">
        <v>188400</v>
      </c>
      <c r="L170" s="8">
        <f t="shared" si="14"/>
        <v>394462.5</v>
      </c>
      <c r="M170" s="9">
        <v>41791</v>
      </c>
      <c r="N170" s="10">
        <f t="shared" si="15"/>
        <v>6</v>
      </c>
      <c r="O170" s="8" t="str">
        <f t="shared" si="16"/>
        <v>June</v>
      </c>
      <c r="P170" s="7">
        <f t="shared" si="17"/>
        <v>2014</v>
      </c>
    </row>
    <row r="171" spans="1:16" ht="15.75" customHeight="1" x14ac:dyDescent="0.3">
      <c r="A171" s="11" t="s">
        <v>27</v>
      </c>
      <c r="B171" s="11" t="s">
        <v>17</v>
      </c>
      <c r="C171" s="12" t="s">
        <v>31</v>
      </c>
      <c r="D171" s="12" t="s">
        <v>33</v>
      </c>
      <c r="E171" s="11">
        <v>1874</v>
      </c>
      <c r="F171" s="12">
        <v>250</v>
      </c>
      <c r="G171" s="12">
        <v>300</v>
      </c>
      <c r="H171" s="8">
        <f t="shared" si="12"/>
        <v>1030700</v>
      </c>
      <c r="I171" s="12">
        <v>16866</v>
      </c>
      <c r="J171" s="8">
        <f t="shared" si="13"/>
        <v>1013834</v>
      </c>
      <c r="K171" s="12">
        <v>468500</v>
      </c>
      <c r="L171" s="8">
        <f t="shared" si="14"/>
        <v>545334</v>
      </c>
      <c r="M171" s="13">
        <v>41852</v>
      </c>
      <c r="N171" s="10">
        <f t="shared" si="15"/>
        <v>8</v>
      </c>
      <c r="O171" s="8" t="str">
        <f t="shared" si="16"/>
        <v>August</v>
      </c>
      <c r="P171" s="7">
        <f t="shared" si="17"/>
        <v>2014</v>
      </c>
    </row>
    <row r="172" spans="1:16" ht="15.75" customHeight="1" x14ac:dyDescent="0.3">
      <c r="A172" s="7" t="s">
        <v>16</v>
      </c>
      <c r="B172" s="7" t="s">
        <v>23</v>
      </c>
      <c r="C172" s="8" t="s">
        <v>31</v>
      </c>
      <c r="D172" s="8" t="s">
        <v>33</v>
      </c>
      <c r="E172" s="7">
        <v>1642</v>
      </c>
      <c r="F172" s="8">
        <v>250</v>
      </c>
      <c r="G172" s="8">
        <v>350</v>
      </c>
      <c r="H172" s="8">
        <f t="shared" si="12"/>
        <v>985200</v>
      </c>
      <c r="I172" s="8">
        <v>17241</v>
      </c>
      <c r="J172" s="8">
        <f t="shared" si="13"/>
        <v>967959</v>
      </c>
      <c r="K172" s="8">
        <v>426920</v>
      </c>
      <c r="L172" s="8">
        <f t="shared" si="14"/>
        <v>541039</v>
      </c>
      <c r="M172" s="9">
        <v>41852</v>
      </c>
      <c r="N172" s="10">
        <f t="shared" si="15"/>
        <v>8</v>
      </c>
      <c r="O172" s="8" t="str">
        <f t="shared" si="16"/>
        <v>August</v>
      </c>
      <c r="P172" s="7">
        <f t="shared" si="17"/>
        <v>2014</v>
      </c>
    </row>
    <row r="173" spans="1:16" ht="15.75" customHeight="1" x14ac:dyDescent="0.3">
      <c r="A173" s="11" t="s">
        <v>21</v>
      </c>
      <c r="B173" s="11" t="s">
        <v>20</v>
      </c>
      <c r="C173" s="12" t="s">
        <v>31</v>
      </c>
      <c r="D173" s="12" t="s">
        <v>33</v>
      </c>
      <c r="E173" s="11">
        <v>1945</v>
      </c>
      <c r="F173" s="12">
        <v>250</v>
      </c>
      <c r="G173" s="12">
        <v>15</v>
      </c>
      <c r="H173" s="8">
        <f t="shared" si="12"/>
        <v>515425</v>
      </c>
      <c r="I173" s="12">
        <v>875.25</v>
      </c>
      <c r="J173" s="8">
        <f t="shared" si="13"/>
        <v>514549.75</v>
      </c>
      <c r="K173" s="12">
        <v>19450</v>
      </c>
      <c r="L173" s="8">
        <f t="shared" si="14"/>
        <v>495099.75</v>
      </c>
      <c r="M173" s="13">
        <v>41548</v>
      </c>
      <c r="N173" s="10">
        <f t="shared" si="15"/>
        <v>10</v>
      </c>
      <c r="O173" s="8" t="str">
        <f t="shared" si="16"/>
        <v>October</v>
      </c>
      <c r="P173" s="7">
        <f t="shared" si="17"/>
        <v>2013</v>
      </c>
    </row>
    <row r="174" spans="1:16" ht="15.75" customHeight="1" x14ac:dyDescent="0.3">
      <c r="A174" s="7" t="s">
        <v>16</v>
      </c>
      <c r="B174" s="7" t="s">
        <v>17</v>
      </c>
      <c r="C174" s="8" t="s">
        <v>18</v>
      </c>
      <c r="D174" s="8" t="s">
        <v>33</v>
      </c>
      <c r="E174" s="7">
        <v>831</v>
      </c>
      <c r="F174" s="8">
        <v>3</v>
      </c>
      <c r="G174" s="8">
        <v>20</v>
      </c>
      <c r="H174" s="8">
        <f t="shared" si="12"/>
        <v>19113</v>
      </c>
      <c r="I174" s="8">
        <v>498.6</v>
      </c>
      <c r="J174" s="8">
        <f t="shared" si="13"/>
        <v>18614.400000000001</v>
      </c>
      <c r="K174" s="8">
        <v>8310</v>
      </c>
      <c r="L174" s="8">
        <f t="shared" si="14"/>
        <v>10304.400000000001</v>
      </c>
      <c r="M174" s="9">
        <v>41760</v>
      </c>
      <c r="N174" s="10">
        <f t="shared" si="15"/>
        <v>5</v>
      </c>
      <c r="O174" s="8" t="str">
        <f t="shared" si="16"/>
        <v>May</v>
      </c>
      <c r="P174" s="7">
        <f t="shared" si="17"/>
        <v>2014</v>
      </c>
    </row>
    <row r="175" spans="1:16" ht="15.75" customHeight="1" x14ac:dyDescent="0.3">
      <c r="A175" s="11" t="s">
        <v>16</v>
      </c>
      <c r="B175" s="11" t="s">
        <v>23</v>
      </c>
      <c r="C175" s="12" t="s">
        <v>29</v>
      </c>
      <c r="D175" s="12" t="s">
        <v>33</v>
      </c>
      <c r="E175" s="11">
        <v>1760</v>
      </c>
      <c r="F175" s="12">
        <v>10</v>
      </c>
      <c r="G175" s="12">
        <v>7</v>
      </c>
      <c r="H175" s="8">
        <f t="shared" si="12"/>
        <v>29920</v>
      </c>
      <c r="I175" s="12">
        <v>369.6</v>
      </c>
      <c r="J175" s="8">
        <f t="shared" si="13"/>
        <v>29550.400000000001</v>
      </c>
      <c r="K175" s="12">
        <v>8800</v>
      </c>
      <c r="L175" s="8">
        <f t="shared" si="14"/>
        <v>20750.400000000001</v>
      </c>
      <c r="M175" s="13">
        <v>41518</v>
      </c>
      <c r="N175" s="10">
        <f t="shared" si="15"/>
        <v>9</v>
      </c>
      <c r="O175" s="8" t="str">
        <f t="shared" si="16"/>
        <v>September</v>
      </c>
      <c r="P175" s="7">
        <f t="shared" si="17"/>
        <v>2013</v>
      </c>
    </row>
    <row r="176" spans="1:16" ht="15.75" customHeight="1" x14ac:dyDescent="0.3">
      <c r="A176" s="7" t="s">
        <v>16</v>
      </c>
      <c r="B176" s="7" t="s">
        <v>17</v>
      </c>
      <c r="C176" s="8" t="s">
        <v>30</v>
      </c>
      <c r="D176" s="8" t="s">
        <v>33</v>
      </c>
      <c r="E176" s="7">
        <v>3850.5</v>
      </c>
      <c r="F176" s="8">
        <v>120</v>
      </c>
      <c r="G176" s="8">
        <v>20</v>
      </c>
      <c r="H176" s="8">
        <f t="shared" si="12"/>
        <v>539070</v>
      </c>
      <c r="I176" s="8">
        <v>2310.3000000000002</v>
      </c>
      <c r="J176" s="8">
        <f t="shared" si="13"/>
        <v>536759.69999999995</v>
      </c>
      <c r="K176" s="8">
        <v>38505</v>
      </c>
      <c r="L176" s="8">
        <f t="shared" si="14"/>
        <v>498254.69999999995</v>
      </c>
      <c r="M176" s="9">
        <v>41730</v>
      </c>
      <c r="N176" s="10">
        <f t="shared" si="15"/>
        <v>4</v>
      </c>
      <c r="O176" s="8" t="str">
        <f t="shared" si="16"/>
        <v>April</v>
      </c>
      <c r="P176" s="7">
        <f t="shared" si="17"/>
        <v>2014</v>
      </c>
    </row>
    <row r="177" spans="1:16" ht="15.75" customHeight="1" x14ac:dyDescent="0.3">
      <c r="A177" s="11" t="s">
        <v>25</v>
      </c>
      <c r="B177" s="11" t="s">
        <v>20</v>
      </c>
      <c r="C177" s="12" t="s">
        <v>31</v>
      </c>
      <c r="D177" s="12" t="s">
        <v>33</v>
      </c>
      <c r="E177" s="11">
        <v>2479</v>
      </c>
      <c r="F177" s="12">
        <v>250</v>
      </c>
      <c r="G177" s="12">
        <v>12</v>
      </c>
      <c r="H177" s="8">
        <f t="shared" si="12"/>
        <v>649498</v>
      </c>
      <c r="I177" s="12">
        <v>892.44</v>
      </c>
      <c r="J177" s="8">
        <f t="shared" si="13"/>
        <v>648605.56000000006</v>
      </c>
      <c r="K177" s="12">
        <v>7437</v>
      </c>
      <c r="L177" s="8">
        <f t="shared" si="14"/>
        <v>641168.56000000006</v>
      </c>
      <c r="M177" s="13">
        <v>41640</v>
      </c>
      <c r="N177" s="10">
        <f t="shared" si="15"/>
        <v>1</v>
      </c>
      <c r="O177" s="8" t="str">
        <f t="shared" si="16"/>
        <v>January</v>
      </c>
      <c r="P177" s="7">
        <f t="shared" si="17"/>
        <v>2014</v>
      </c>
    </row>
    <row r="178" spans="1:16" ht="15.75" customHeight="1" x14ac:dyDescent="0.3">
      <c r="A178" s="7" t="s">
        <v>21</v>
      </c>
      <c r="B178" s="7" t="s">
        <v>23</v>
      </c>
      <c r="C178" s="8" t="s">
        <v>24</v>
      </c>
      <c r="D178" s="8" t="s">
        <v>33</v>
      </c>
      <c r="E178" s="7">
        <v>2031</v>
      </c>
      <c r="F178" s="8">
        <v>5</v>
      </c>
      <c r="G178" s="8">
        <v>15</v>
      </c>
      <c r="H178" s="8">
        <f t="shared" si="12"/>
        <v>40620</v>
      </c>
      <c r="I178" s="8">
        <v>1218.5999999999999</v>
      </c>
      <c r="J178" s="8">
        <f t="shared" si="13"/>
        <v>39401.4</v>
      </c>
      <c r="K178" s="8">
        <v>20310</v>
      </c>
      <c r="L178" s="8">
        <f t="shared" si="14"/>
        <v>19091.400000000001</v>
      </c>
      <c r="M178" s="9">
        <v>41913</v>
      </c>
      <c r="N178" s="10">
        <f t="shared" si="15"/>
        <v>10</v>
      </c>
      <c r="O178" s="8" t="str">
        <f t="shared" si="16"/>
        <v>October</v>
      </c>
      <c r="P178" s="7">
        <f t="shared" si="17"/>
        <v>2014</v>
      </c>
    </row>
    <row r="179" spans="1:16" ht="15.75" customHeight="1" x14ac:dyDescent="0.3">
      <c r="A179" s="11" t="s">
        <v>21</v>
      </c>
      <c r="B179" s="11" t="s">
        <v>23</v>
      </c>
      <c r="C179" s="12" t="s">
        <v>29</v>
      </c>
      <c r="D179" s="12" t="s">
        <v>33</v>
      </c>
      <c r="E179" s="11">
        <v>2031</v>
      </c>
      <c r="F179" s="12">
        <v>10</v>
      </c>
      <c r="G179" s="12">
        <v>15</v>
      </c>
      <c r="H179" s="8">
        <f t="shared" si="12"/>
        <v>50775</v>
      </c>
      <c r="I179" s="12">
        <v>1218.5999999999999</v>
      </c>
      <c r="J179" s="8">
        <f t="shared" si="13"/>
        <v>49556.4</v>
      </c>
      <c r="K179" s="12">
        <v>20310</v>
      </c>
      <c r="L179" s="8">
        <f t="shared" si="14"/>
        <v>29246.400000000001</v>
      </c>
      <c r="M179" s="13">
        <v>41913</v>
      </c>
      <c r="N179" s="10">
        <f t="shared" si="15"/>
        <v>10</v>
      </c>
      <c r="O179" s="8" t="str">
        <f t="shared" si="16"/>
        <v>October</v>
      </c>
      <c r="P179" s="7">
        <f t="shared" si="17"/>
        <v>2014</v>
      </c>
    </row>
    <row r="180" spans="1:16" ht="15.75" customHeight="1" x14ac:dyDescent="0.3">
      <c r="A180" s="7" t="s">
        <v>21</v>
      </c>
      <c r="B180" s="7" t="s">
        <v>22</v>
      </c>
      <c r="C180" s="8" t="s">
        <v>29</v>
      </c>
      <c r="D180" s="8" t="s">
        <v>33</v>
      </c>
      <c r="E180" s="7">
        <v>2261</v>
      </c>
      <c r="F180" s="8">
        <v>10</v>
      </c>
      <c r="G180" s="8">
        <v>15</v>
      </c>
      <c r="H180" s="8">
        <f t="shared" si="12"/>
        <v>56525</v>
      </c>
      <c r="I180" s="8">
        <v>1356.6</v>
      </c>
      <c r="J180" s="8">
        <f t="shared" si="13"/>
        <v>55168.4</v>
      </c>
      <c r="K180" s="8">
        <v>22610</v>
      </c>
      <c r="L180" s="8">
        <f t="shared" si="14"/>
        <v>32558.400000000001</v>
      </c>
      <c r="M180" s="9">
        <v>41609</v>
      </c>
      <c r="N180" s="10">
        <f t="shared" si="15"/>
        <v>12</v>
      </c>
      <c r="O180" s="8" t="str">
        <f t="shared" si="16"/>
        <v>December</v>
      </c>
      <c r="P180" s="7">
        <f t="shared" si="17"/>
        <v>2013</v>
      </c>
    </row>
    <row r="181" spans="1:16" ht="15.75" customHeight="1" x14ac:dyDescent="0.3">
      <c r="A181" s="11" t="s">
        <v>16</v>
      </c>
      <c r="B181" s="11" t="s">
        <v>28</v>
      </c>
      <c r="C181" s="12" t="s">
        <v>30</v>
      </c>
      <c r="D181" s="12" t="s">
        <v>33</v>
      </c>
      <c r="E181" s="11">
        <v>736</v>
      </c>
      <c r="F181" s="12">
        <v>120</v>
      </c>
      <c r="G181" s="12">
        <v>20</v>
      </c>
      <c r="H181" s="8">
        <f t="shared" si="12"/>
        <v>103040</v>
      </c>
      <c r="I181" s="12">
        <v>588.79999999999995</v>
      </c>
      <c r="J181" s="8">
        <f t="shared" si="13"/>
        <v>102451.2</v>
      </c>
      <c r="K181" s="12">
        <v>7360</v>
      </c>
      <c r="L181" s="8">
        <f t="shared" si="14"/>
        <v>95091.199999999997</v>
      </c>
      <c r="M181" s="13">
        <v>41518</v>
      </c>
      <c r="N181" s="10">
        <f t="shared" si="15"/>
        <v>9</v>
      </c>
      <c r="O181" s="8" t="str">
        <f t="shared" si="16"/>
        <v>September</v>
      </c>
      <c r="P181" s="7">
        <f t="shared" si="17"/>
        <v>2013</v>
      </c>
    </row>
    <row r="182" spans="1:16" ht="15.75" customHeight="1" x14ac:dyDescent="0.3">
      <c r="A182" s="7" t="s">
        <v>16</v>
      </c>
      <c r="B182" s="7" t="s">
        <v>17</v>
      </c>
      <c r="C182" s="8" t="s">
        <v>18</v>
      </c>
      <c r="D182" s="8" t="s">
        <v>33</v>
      </c>
      <c r="E182" s="7">
        <v>2851</v>
      </c>
      <c r="F182" s="8">
        <v>3</v>
      </c>
      <c r="G182" s="8">
        <v>7</v>
      </c>
      <c r="H182" s="8">
        <f t="shared" si="12"/>
        <v>28510</v>
      </c>
      <c r="I182" s="8">
        <v>798.28</v>
      </c>
      <c r="J182" s="8">
        <f t="shared" si="13"/>
        <v>27711.72</v>
      </c>
      <c r="K182" s="8">
        <v>14255</v>
      </c>
      <c r="L182" s="8">
        <f t="shared" si="14"/>
        <v>13456.720000000001</v>
      </c>
      <c r="M182" s="9">
        <v>41548</v>
      </c>
      <c r="N182" s="10">
        <f t="shared" si="15"/>
        <v>10</v>
      </c>
      <c r="O182" s="8" t="str">
        <f t="shared" si="16"/>
        <v>October</v>
      </c>
      <c r="P182" s="7">
        <f t="shared" si="17"/>
        <v>2013</v>
      </c>
    </row>
    <row r="183" spans="1:16" ht="15.75" customHeight="1" x14ac:dyDescent="0.3">
      <c r="A183" s="11" t="s">
        <v>27</v>
      </c>
      <c r="B183" s="11" t="s">
        <v>20</v>
      </c>
      <c r="C183" s="12" t="s">
        <v>18</v>
      </c>
      <c r="D183" s="12" t="s">
        <v>33</v>
      </c>
      <c r="E183" s="11">
        <v>2021</v>
      </c>
      <c r="F183" s="12">
        <v>3</v>
      </c>
      <c r="G183" s="12">
        <v>300</v>
      </c>
      <c r="H183" s="8">
        <f t="shared" si="12"/>
        <v>612363</v>
      </c>
      <c r="I183" s="12">
        <v>24252</v>
      </c>
      <c r="J183" s="8">
        <f t="shared" si="13"/>
        <v>588111</v>
      </c>
      <c r="K183" s="12">
        <v>505250</v>
      </c>
      <c r="L183" s="8">
        <f t="shared" si="14"/>
        <v>82861</v>
      </c>
      <c r="M183" s="13">
        <v>41913</v>
      </c>
      <c r="N183" s="10">
        <f t="shared" si="15"/>
        <v>10</v>
      </c>
      <c r="O183" s="8" t="str">
        <f t="shared" si="16"/>
        <v>October</v>
      </c>
      <c r="P183" s="7">
        <f t="shared" si="17"/>
        <v>2014</v>
      </c>
    </row>
    <row r="184" spans="1:16" ht="15.75" customHeight="1" x14ac:dyDescent="0.3">
      <c r="A184" s="7" t="s">
        <v>16</v>
      </c>
      <c r="B184" s="7" t="s">
        <v>28</v>
      </c>
      <c r="C184" s="8" t="s">
        <v>18</v>
      </c>
      <c r="D184" s="8" t="s">
        <v>33</v>
      </c>
      <c r="E184" s="7">
        <v>274</v>
      </c>
      <c r="F184" s="8">
        <v>3</v>
      </c>
      <c r="G184" s="8">
        <v>350</v>
      </c>
      <c r="H184" s="8">
        <f t="shared" si="12"/>
        <v>96722</v>
      </c>
      <c r="I184" s="8">
        <v>3836</v>
      </c>
      <c r="J184" s="8">
        <f t="shared" si="13"/>
        <v>92886</v>
      </c>
      <c r="K184" s="8">
        <v>71240</v>
      </c>
      <c r="L184" s="8">
        <f t="shared" si="14"/>
        <v>21646</v>
      </c>
      <c r="M184" s="9">
        <v>41974</v>
      </c>
      <c r="N184" s="10">
        <f t="shared" si="15"/>
        <v>12</v>
      </c>
      <c r="O184" s="8" t="str">
        <f t="shared" si="16"/>
        <v>December</v>
      </c>
      <c r="P184" s="7">
        <f t="shared" si="17"/>
        <v>2014</v>
      </c>
    </row>
    <row r="185" spans="1:16" ht="15.75" customHeight="1" x14ac:dyDescent="0.3">
      <c r="A185" s="11" t="s">
        <v>21</v>
      </c>
      <c r="B185" s="11" t="s">
        <v>17</v>
      </c>
      <c r="C185" s="12" t="s">
        <v>24</v>
      </c>
      <c r="D185" s="12" t="s">
        <v>33</v>
      </c>
      <c r="E185" s="11">
        <v>1967</v>
      </c>
      <c r="F185" s="12">
        <v>5</v>
      </c>
      <c r="G185" s="12">
        <v>15</v>
      </c>
      <c r="H185" s="8">
        <f t="shared" si="12"/>
        <v>39340</v>
      </c>
      <c r="I185" s="12">
        <v>1180.2</v>
      </c>
      <c r="J185" s="8">
        <f t="shared" si="13"/>
        <v>38159.800000000003</v>
      </c>
      <c r="K185" s="12">
        <v>19670</v>
      </c>
      <c r="L185" s="8">
        <f t="shared" si="14"/>
        <v>18489.800000000003</v>
      </c>
      <c r="M185" s="13">
        <v>41699</v>
      </c>
      <c r="N185" s="10">
        <f t="shared" si="15"/>
        <v>3</v>
      </c>
      <c r="O185" s="8" t="str">
        <f t="shared" si="16"/>
        <v>March</v>
      </c>
      <c r="P185" s="7">
        <f t="shared" si="17"/>
        <v>2014</v>
      </c>
    </row>
    <row r="186" spans="1:16" ht="15.75" customHeight="1" x14ac:dyDescent="0.3">
      <c r="A186" s="7" t="s">
        <v>27</v>
      </c>
      <c r="B186" s="7" t="s">
        <v>20</v>
      </c>
      <c r="C186" s="8" t="s">
        <v>24</v>
      </c>
      <c r="D186" s="8" t="s">
        <v>33</v>
      </c>
      <c r="E186" s="7">
        <v>1859</v>
      </c>
      <c r="F186" s="8">
        <v>5</v>
      </c>
      <c r="G186" s="8">
        <v>300</v>
      </c>
      <c r="H186" s="8">
        <f t="shared" si="12"/>
        <v>566995</v>
      </c>
      <c r="I186" s="8">
        <v>22308</v>
      </c>
      <c r="J186" s="8">
        <f t="shared" si="13"/>
        <v>544687</v>
      </c>
      <c r="K186" s="8">
        <v>464750</v>
      </c>
      <c r="L186" s="8">
        <f t="shared" si="14"/>
        <v>79937</v>
      </c>
      <c r="M186" s="9">
        <v>41852</v>
      </c>
      <c r="N186" s="10">
        <f t="shared" si="15"/>
        <v>8</v>
      </c>
      <c r="O186" s="8" t="str">
        <f t="shared" si="16"/>
        <v>August</v>
      </c>
      <c r="P186" s="7">
        <f t="shared" si="17"/>
        <v>2014</v>
      </c>
    </row>
    <row r="187" spans="1:16" ht="15.75" customHeight="1" x14ac:dyDescent="0.3">
      <c r="A187" s="11" t="s">
        <v>16</v>
      </c>
      <c r="B187" s="11" t="s">
        <v>17</v>
      </c>
      <c r="C187" s="12" t="s">
        <v>24</v>
      </c>
      <c r="D187" s="12" t="s">
        <v>33</v>
      </c>
      <c r="E187" s="11">
        <v>2851</v>
      </c>
      <c r="F187" s="12">
        <v>5</v>
      </c>
      <c r="G187" s="12">
        <v>7</v>
      </c>
      <c r="H187" s="8">
        <f t="shared" si="12"/>
        <v>34212</v>
      </c>
      <c r="I187" s="12">
        <v>798.28</v>
      </c>
      <c r="J187" s="8">
        <f t="shared" si="13"/>
        <v>33413.72</v>
      </c>
      <c r="K187" s="12">
        <v>14255</v>
      </c>
      <c r="L187" s="8">
        <f t="shared" si="14"/>
        <v>19158.72</v>
      </c>
      <c r="M187" s="13">
        <v>41548</v>
      </c>
      <c r="N187" s="10">
        <f t="shared" si="15"/>
        <v>10</v>
      </c>
      <c r="O187" s="8" t="str">
        <f t="shared" si="16"/>
        <v>October</v>
      </c>
      <c r="P187" s="7">
        <f t="shared" si="17"/>
        <v>2013</v>
      </c>
    </row>
    <row r="188" spans="1:16" ht="15.75" customHeight="1" x14ac:dyDescent="0.3">
      <c r="A188" s="7" t="s">
        <v>27</v>
      </c>
      <c r="B188" s="7" t="s">
        <v>20</v>
      </c>
      <c r="C188" s="8" t="s">
        <v>24</v>
      </c>
      <c r="D188" s="8" t="s">
        <v>33</v>
      </c>
      <c r="E188" s="7">
        <v>2021</v>
      </c>
      <c r="F188" s="8">
        <v>5</v>
      </c>
      <c r="G188" s="8">
        <v>300</v>
      </c>
      <c r="H188" s="8">
        <f t="shared" si="12"/>
        <v>616405</v>
      </c>
      <c r="I188" s="8">
        <v>24252</v>
      </c>
      <c r="J188" s="8">
        <f t="shared" si="13"/>
        <v>592153</v>
      </c>
      <c r="K188" s="8">
        <v>505250</v>
      </c>
      <c r="L188" s="8">
        <f t="shared" si="14"/>
        <v>86903</v>
      </c>
      <c r="M188" s="9">
        <v>41913</v>
      </c>
      <c r="N188" s="10">
        <f t="shared" si="15"/>
        <v>10</v>
      </c>
      <c r="O188" s="8" t="str">
        <f t="shared" si="16"/>
        <v>October</v>
      </c>
      <c r="P188" s="7">
        <f t="shared" si="17"/>
        <v>2014</v>
      </c>
    </row>
    <row r="189" spans="1:16" ht="15.75" customHeight="1" x14ac:dyDescent="0.3">
      <c r="A189" s="11" t="s">
        <v>26</v>
      </c>
      <c r="B189" s="11" t="s">
        <v>23</v>
      </c>
      <c r="C189" s="12" t="s">
        <v>24</v>
      </c>
      <c r="D189" s="12" t="s">
        <v>33</v>
      </c>
      <c r="E189" s="11">
        <v>1138</v>
      </c>
      <c r="F189" s="12">
        <v>5</v>
      </c>
      <c r="G189" s="12">
        <v>125</v>
      </c>
      <c r="H189" s="8">
        <f t="shared" si="12"/>
        <v>147940</v>
      </c>
      <c r="I189" s="12">
        <v>5690</v>
      </c>
      <c r="J189" s="8">
        <f t="shared" si="13"/>
        <v>142250</v>
      </c>
      <c r="K189" s="12">
        <v>136560</v>
      </c>
      <c r="L189" s="8">
        <f t="shared" si="14"/>
        <v>5690</v>
      </c>
      <c r="M189" s="13">
        <v>41974</v>
      </c>
      <c r="N189" s="10">
        <f t="shared" si="15"/>
        <v>12</v>
      </c>
      <c r="O189" s="8" t="str">
        <f t="shared" si="16"/>
        <v>December</v>
      </c>
      <c r="P189" s="7">
        <f t="shared" si="17"/>
        <v>2014</v>
      </c>
    </row>
    <row r="190" spans="1:16" ht="15.75" customHeight="1" x14ac:dyDescent="0.3">
      <c r="A190" s="7" t="s">
        <v>16</v>
      </c>
      <c r="B190" s="7" t="s">
        <v>17</v>
      </c>
      <c r="C190" s="8" t="s">
        <v>29</v>
      </c>
      <c r="D190" s="8" t="s">
        <v>33</v>
      </c>
      <c r="E190" s="7">
        <v>4251</v>
      </c>
      <c r="F190" s="8">
        <v>10</v>
      </c>
      <c r="G190" s="8">
        <v>7</v>
      </c>
      <c r="H190" s="8">
        <f t="shared" si="12"/>
        <v>72267</v>
      </c>
      <c r="I190" s="8">
        <v>1190.28</v>
      </c>
      <c r="J190" s="8">
        <f t="shared" si="13"/>
        <v>71076.72</v>
      </c>
      <c r="K190" s="8">
        <v>21255</v>
      </c>
      <c r="L190" s="8">
        <f t="shared" si="14"/>
        <v>49821.72</v>
      </c>
      <c r="M190" s="9">
        <v>41640</v>
      </c>
      <c r="N190" s="10">
        <f t="shared" si="15"/>
        <v>1</v>
      </c>
      <c r="O190" s="8" t="str">
        <f t="shared" si="16"/>
        <v>January</v>
      </c>
      <c r="P190" s="7">
        <f t="shared" si="17"/>
        <v>2014</v>
      </c>
    </row>
    <row r="191" spans="1:16" ht="15.75" customHeight="1" x14ac:dyDescent="0.3">
      <c r="A191" s="11" t="s">
        <v>26</v>
      </c>
      <c r="B191" s="11" t="s">
        <v>20</v>
      </c>
      <c r="C191" s="12" t="s">
        <v>29</v>
      </c>
      <c r="D191" s="12" t="s">
        <v>33</v>
      </c>
      <c r="E191" s="11">
        <v>795</v>
      </c>
      <c r="F191" s="12">
        <v>10</v>
      </c>
      <c r="G191" s="12">
        <v>125</v>
      </c>
      <c r="H191" s="8">
        <f t="shared" si="12"/>
        <v>107325</v>
      </c>
      <c r="I191" s="12">
        <v>3975</v>
      </c>
      <c r="J191" s="8">
        <f t="shared" si="13"/>
        <v>103350</v>
      </c>
      <c r="K191" s="12">
        <v>95400</v>
      </c>
      <c r="L191" s="8">
        <f t="shared" si="14"/>
        <v>7950</v>
      </c>
      <c r="M191" s="13">
        <v>41699</v>
      </c>
      <c r="N191" s="10">
        <f t="shared" si="15"/>
        <v>3</v>
      </c>
      <c r="O191" s="8" t="str">
        <f t="shared" si="16"/>
        <v>March</v>
      </c>
      <c r="P191" s="7">
        <f t="shared" si="17"/>
        <v>2014</v>
      </c>
    </row>
    <row r="192" spans="1:16" ht="15.75" customHeight="1" x14ac:dyDescent="0.3">
      <c r="A192" s="7" t="s">
        <v>27</v>
      </c>
      <c r="B192" s="7" t="s">
        <v>20</v>
      </c>
      <c r="C192" s="8" t="s">
        <v>29</v>
      </c>
      <c r="D192" s="8" t="s">
        <v>33</v>
      </c>
      <c r="E192" s="7">
        <v>1414.5</v>
      </c>
      <c r="F192" s="8">
        <v>10</v>
      </c>
      <c r="G192" s="8">
        <v>300</v>
      </c>
      <c r="H192" s="8">
        <f t="shared" si="12"/>
        <v>438495</v>
      </c>
      <c r="I192" s="8">
        <v>16974</v>
      </c>
      <c r="J192" s="8">
        <f t="shared" si="13"/>
        <v>421521</v>
      </c>
      <c r="K192" s="8">
        <v>353625</v>
      </c>
      <c r="L192" s="8">
        <f t="shared" si="14"/>
        <v>67896</v>
      </c>
      <c r="M192" s="9">
        <v>41730</v>
      </c>
      <c r="N192" s="10">
        <f t="shared" si="15"/>
        <v>4</v>
      </c>
      <c r="O192" s="8" t="str">
        <f t="shared" si="16"/>
        <v>April</v>
      </c>
      <c r="P192" s="7">
        <f t="shared" si="17"/>
        <v>2014</v>
      </c>
    </row>
    <row r="193" spans="1:16" ht="15.75" customHeight="1" x14ac:dyDescent="0.3">
      <c r="A193" s="11" t="s">
        <v>27</v>
      </c>
      <c r="B193" s="11" t="s">
        <v>28</v>
      </c>
      <c r="C193" s="12" t="s">
        <v>29</v>
      </c>
      <c r="D193" s="12" t="s">
        <v>33</v>
      </c>
      <c r="E193" s="11">
        <v>2918</v>
      </c>
      <c r="F193" s="12">
        <v>10</v>
      </c>
      <c r="G193" s="12">
        <v>300</v>
      </c>
      <c r="H193" s="8">
        <f t="shared" si="12"/>
        <v>904580</v>
      </c>
      <c r="I193" s="12">
        <v>35016</v>
      </c>
      <c r="J193" s="8">
        <f t="shared" si="13"/>
        <v>869564</v>
      </c>
      <c r="K193" s="12">
        <v>729500</v>
      </c>
      <c r="L193" s="8">
        <f t="shared" si="14"/>
        <v>140064</v>
      </c>
      <c r="M193" s="13">
        <v>41760</v>
      </c>
      <c r="N193" s="10">
        <f t="shared" si="15"/>
        <v>5</v>
      </c>
      <c r="O193" s="8" t="str">
        <f t="shared" si="16"/>
        <v>May</v>
      </c>
      <c r="P193" s="7">
        <f t="shared" si="17"/>
        <v>2014</v>
      </c>
    </row>
    <row r="194" spans="1:16" ht="15.75" customHeight="1" x14ac:dyDescent="0.3">
      <c r="A194" s="7" t="s">
        <v>16</v>
      </c>
      <c r="B194" s="7" t="s">
        <v>28</v>
      </c>
      <c r="C194" s="8" t="s">
        <v>29</v>
      </c>
      <c r="D194" s="8" t="s">
        <v>33</v>
      </c>
      <c r="E194" s="7">
        <v>3450</v>
      </c>
      <c r="F194" s="8">
        <v>10</v>
      </c>
      <c r="G194" s="8">
        <v>350</v>
      </c>
      <c r="H194" s="8">
        <f t="shared" si="12"/>
        <v>1242000</v>
      </c>
      <c r="I194" s="8">
        <v>48300</v>
      </c>
      <c r="J194" s="8">
        <f t="shared" si="13"/>
        <v>1193700</v>
      </c>
      <c r="K194" s="8">
        <v>897000</v>
      </c>
      <c r="L194" s="8">
        <f t="shared" si="14"/>
        <v>296700</v>
      </c>
      <c r="M194" s="9">
        <v>41821</v>
      </c>
      <c r="N194" s="10">
        <f t="shared" si="15"/>
        <v>7</v>
      </c>
      <c r="O194" s="8" t="str">
        <f t="shared" si="16"/>
        <v>July</v>
      </c>
      <c r="P194" s="7">
        <f t="shared" si="17"/>
        <v>2014</v>
      </c>
    </row>
    <row r="195" spans="1:16" ht="15.75" customHeight="1" x14ac:dyDescent="0.3">
      <c r="A195" s="11" t="s">
        <v>26</v>
      </c>
      <c r="B195" s="11" t="s">
        <v>22</v>
      </c>
      <c r="C195" s="12" t="s">
        <v>29</v>
      </c>
      <c r="D195" s="12" t="s">
        <v>33</v>
      </c>
      <c r="E195" s="11">
        <v>2988</v>
      </c>
      <c r="F195" s="12">
        <v>10</v>
      </c>
      <c r="G195" s="12">
        <v>125</v>
      </c>
      <c r="H195" s="8">
        <f t="shared" ref="H195:H258" si="18">E195*(F195+G195)</f>
        <v>403380</v>
      </c>
      <c r="I195" s="12">
        <v>14940</v>
      </c>
      <c r="J195" s="8">
        <f t="shared" ref="J195:J258" si="19">H195-I195</f>
        <v>388440</v>
      </c>
      <c r="K195" s="12">
        <v>358560</v>
      </c>
      <c r="L195" s="8">
        <f t="shared" ref="L195:L258" si="20">J195-K195</f>
        <v>29880</v>
      </c>
      <c r="M195" s="13">
        <v>41821</v>
      </c>
      <c r="N195" s="10">
        <f t="shared" ref="N195:N258" si="21">MONTH(M195)</f>
        <v>7</v>
      </c>
      <c r="O195" s="8" t="str">
        <f t="shared" ref="O195:O258" si="22">TEXT(M195,"MMMM")</f>
        <v>July</v>
      </c>
      <c r="P195" s="7">
        <f t="shared" ref="P195:P258" si="23">YEAR(M195)</f>
        <v>2014</v>
      </c>
    </row>
    <row r="196" spans="1:16" ht="15.75" customHeight="1" x14ac:dyDescent="0.3">
      <c r="A196" s="7" t="s">
        <v>21</v>
      </c>
      <c r="B196" s="7" t="s">
        <v>17</v>
      </c>
      <c r="C196" s="8" t="s">
        <v>29</v>
      </c>
      <c r="D196" s="8" t="s">
        <v>33</v>
      </c>
      <c r="E196" s="7">
        <v>218</v>
      </c>
      <c r="F196" s="8">
        <v>10</v>
      </c>
      <c r="G196" s="8">
        <v>15</v>
      </c>
      <c r="H196" s="8">
        <f t="shared" si="18"/>
        <v>5450</v>
      </c>
      <c r="I196" s="8">
        <v>130.80000000000001</v>
      </c>
      <c r="J196" s="8">
        <f t="shared" si="19"/>
        <v>5319.2</v>
      </c>
      <c r="K196" s="8">
        <v>2180</v>
      </c>
      <c r="L196" s="8">
        <f t="shared" si="20"/>
        <v>3139.2</v>
      </c>
      <c r="M196" s="9">
        <v>41883</v>
      </c>
      <c r="N196" s="10">
        <f t="shared" si="21"/>
        <v>9</v>
      </c>
      <c r="O196" s="8" t="str">
        <f t="shared" si="22"/>
        <v>September</v>
      </c>
      <c r="P196" s="7">
        <f t="shared" si="23"/>
        <v>2014</v>
      </c>
    </row>
    <row r="197" spans="1:16" ht="15.75" customHeight="1" x14ac:dyDescent="0.3">
      <c r="A197" s="11" t="s">
        <v>16</v>
      </c>
      <c r="B197" s="11" t="s">
        <v>17</v>
      </c>
      <c r="C197" s="12" t="s">
        <v>29</v>
      </c>
      <c r="D197" s="12" t="s">
        <v>33</v>
      </c>
      <c r="E197" s="11">
        <v>2074</v>
      </c>
      <c r="F197" s="12">
        <v>10</v>
      </c>
      <c r="G197" s="12">
        <v>20</v>
      </c>
      <c r="H197" s="8">
        <f t="shared" si="18"/>
        <v>62220</v>
      </c>
      <c r="I197" s="12">
        <v>1659.2</v>
      </c>
      <c r="J197" s="8">
        <f t="shared" si="19"/>
        <v>60560.800000000003</v>
      </c>
      <c r="K197" s="12">
        <v>20740</v>
      </c>
      <c r="L197" s="8">
        <f t="shared" si="20"/>
        <v>39820.800000000003</v>
      </c>
      <c r="M197" s="13">
        <v>41883</v>
      </c>
      <c r="N197" s="10">
        <f t="shared" si="21"/>
        <v>9</v>
      </c>
      <c r="O197" s="8" t="str">
        <f t="shared" si="22"/>
        <v>September</v>
      </c>
      <c r="P197" s="7">
        <f t="shared" si="23"/>
        <v>2014</v>
      </c>
    </row>
    <row r="198" spans="1:16" ht="15.75" customHeight="1" x14ac:dyDescent="0.3">
      <c r="A198" s="7" t="s">
        <v>16</v>
      </c>
      <c r="B198" s="7" t="s">
        <v>28</v>
      </c>
      <c r="C198" s="8" t="s">
        <v>29</v>
      </c>
      <c r="D198" s="8" t="s">
        <v>33</v>
      </c>
      <c r="E198" s="7">
        <v>1056</v>
      </c>
      <c r="F198" s="8">
        <v>10</v>
      </c>
      <c r="G198" s="8">
        <v>20</v>
      </c>
      <c r="H198" s="8">
        <f t="shared" si="18"/>
        <v>31680</v>
      </c>
      <c r="I198" s="8">
        <v>844.8</v>
      </c>
      <c r="J198" s="8">
        <f t="shared" si="19"/>
        <v>30835.200000000001</v>
      </c>
      <c r="K198" s="8">
        <v>10560</v>
      </c>
      <c r="L198" s="8">
        <f t="shared" si="20"/>
        <v>20275.2</v>
      </c>
      <c r="M198" s="9">
        <v>41883</v>
      </c>
      <c r="N198" s="10">
        <f t="shared" si="21"/>
        <v>9</v>
      </c>
      <c r="O198" s="8" t="str">
        <f t="shared" si="22"/>
        <v>September</v>
      </c>
      <c r="P198" s="7">
        <f t="shared" si="23"/>
        <v>2014</v>
      </c>
    </row>
    <row r="199" spans="1:16" ht="15.75" customHeight="1" x14ac:dyDescent="0.3">
      <c r="A199" s="11" t="s">
        <v>21</v>
      </c>
      <c r="B199" s="11" t="s">
        <v>28</v>
      </c>
      <c r="C199" s="12" t="s">
        <v>29</v>
      </c>
      <c r="D199" s="12" t="s">
        <v>33</v>
      </c>
      <c r="E199" s="11">
        <v>671</v>
      </c>
      <c r="F199" s="12">
        <v>10</v>
      </c>
      <c r="G199" s="12">
        <v>15</v>
      </c>
      <c r="H199" s="8">
        <f t="shared" si="18"/>
        <v>16775</v>
      </c>
      <c r="I199" s="12">
        <v>402.6</v>
      </c>
      <c r="J199" s="8">
        <f t="shared" si="19"/>
        <v>16372.4</v>
      </c>
      <c r="K199" s="12">
        <v>6710</v>
      </c>
      <c r="L199" s="8">
        <f t="shared" si="20"/>
        <v>9662.4</v>
      </c>
      <c r="M199" s="13">
        <v>41548</v>
      </c>
      <c r="N199" s="10">
        <f t="shared" si="21"/>
        <v>10</v>
      </c>
      <c r="O199" s="8" t="str">
        <f t="shared" si="22"/>
        <v>October</v>
      </c>
      <c r="P199" s="7">
        <f t="shared" si="23"/>
        <v>2013</v>
      </c>
    </row>
    <row r="200" spans="1:16" ht="15.75" customHeight="1" x14ac:dyDescent="0.3">
      <c r="A200" s="7" t="s">
        <v>21</v>
      </c>
      <c r="B200" s="7" t="s">
        <v>23</v>
      </c>
      <c r="C200" s="8" t="s">
        <v>29</v>
      </c>
      <c r="D200" s="8" t="s">
        <v>33</v>
      </c>
      <c r="E200" s="7">
        <v>1514</v>
      </c>
      <c r="F200" s="8">
        <v>10</v>
      </c>
      <c r="G200" s="8">
        <v>15</v>
      </c>
      <c r="H200" s="8">
        <f t="shared" si="18"/>
        <v>37850</v>
      </c>
      <c r="I200" s="8">
        <v>908.4</v>
      </c>
      <c r="J200" s="8">
        <f t="shared" si="19"/>
        <v>36941.599999999999</v>
      </c>
      <c r="K200" s="8">
        <v>15140</v>
      </c>
      <c r="L200" s="8">
        <f t="shared" si="20"/>
        <v>21801.599999999999</v>
      </c>
      <c r="M200" s="9">
        <v>41548</v>
      </c>
      <c r="N200" s="10">
        <f t="shared" si="21"/>
        <v>10</v>
      </c>
      <c r="O200" s="8" t="str">
        <f t="shared" si="22"/>
        <v>October</v>
      </c>
      <c r="P200" s="7">
        <f t="shared" si="23"/>
        <v>2013</v>
      </c>
    </row>
    <row r="201" spans="1:16" ht="15.75" customHeight="1" x14ac:dyDescent="0.3">
      <c r="A201" s="11" t="s">
        <v>16</v>
      </c>
      <c r="B201" s="11" t="s">
        <v>28</v>
      </c>
      <c r="C201" s="12" t="s">
        <v>29</v>
      </c>
      <c r="D201" s="12" t="s">
        <v>33</v>
      </c>
      <c r="E201" s="11">
        <v>274</v>
      </c>
      <c r="F201" s="12">
        <v>10</v>
      </c>
      <c r="G201" s="12">
        <v>350</v>
      </c>
      <c r="H201" s="8">
        <f t="shared" si="18"/>
        <v>98640</v>
      </c>
      <c r="I201" s="12">
        <v>3836</v>
      </c>
      <c r="J201" s="8">
        <f t="shared" si="19"/>
        <v>94804</v>
      </c>
      <c r="K201" s="12">
        <v>71240</v>
      </c>
      <c r="L201" s="8">
        <f t="shared" si="20"/>
        <v>23564</v>
      </c>
      <c r="M201" s="13">
        <v>41974</v>
      </c>
      <c r="N201" s="10">
        <f t="shared" si="21"/>
        <v>12</v>
      </c>
      <c r="O201" s="8" t="str">
        <f t="shared" si="22"/>
        <v>December</v>
      </c>
      <c r="P201" s="7">
        <f t="shared" si="23"/>
        <v>2014</v>
      </c>
    </row>
    <row r="202" spans="1:16" ht="15.75" customHeight="1" x14ac:dyDescent="0.3">
      <c r="A202" s="7" t="s">
        <v>26</v>
      </c>
      <c r="B202" s="7" t="s">
        <v>23</v>
      </c>
      <c r="C202" s="8" t="s">
        <v>29</v>
      </c>
      <c r="D202" s="8" t="s">
        <v>33</v>
      </c>
      <c r="E202" s="7">
        <v>1138</v>
      </c>
      <c r="F202" s="8">
        <v>10</v>
      </c>
      <c r="G202" s="8">
        <v>125</v>
      </c>
      <c r="H202" s="8">
        <f t="shared" si="18"/>
        <v>153630</v>
      </c>
      <c r="I202" s="8">
        <v>5690</v>
      </c>
      <c r="J202" s="8">
        <f t="shared" si="19"/>
        <v>147940</v>
      </c>
      <c r="K202" s="8">
        <v>136560</v>
      </c>
      <c r="L202" s="8">
        <f t="shared" si="20"/>
        <v>11380</v>
      </c>
      <c r="M202" s="9">
        <v>41974</v>
      </c>
      <c r="N202" s="10">
        <f t="shared" si="21"/>
        <v>12</v>
      </c>
      <c r="O202" s="8" t="str">
        <f t="shared" si="22"/>
        <v>December</v>
      </c>
      <c r="P202" s="7">
        <f t="shared" si="23"/>
        <v>2014</v>
      </c>
    </row>
    <row r="203" spans="1:16" ht="15.75" customHeight="1" x14ac:dyDescent="0.3">
      <c r="A203" s="11" t="s">
        <v>25</v>
      </c>
      <c r="B203" s="11" t="s">
        <v>28</v>
      </c>
      <c r="C203" s="12" t="s">
        <v>30</v>
      </c>
      <c r="D203" s="12" t="s">
        <v>33</v>
      </c>
      <c r="E203" s="11">
        <v>1465</v>
      </c>
      <c r="F203" s="12">
        <v>120</v>
      </c>
      <c r="G203" s="12">
        <v>12</v>
      </c>
      <c r="H203" s="8">
        <f t="shared" si="18"/>
        <v>193380</v>
      </c>
      <c r="I203" s="12">
        <v>703.2</v>
      </c>
      <c r="J203" s="8">
        <f t="shared" si="19"/>
        <v>192676.8</v>
      </c>
      <c r="K203" s="12">
        <v>4395</v>
      </c>
      <c r="L203" s="8">
        <f t="shared" si="20"/>
        <v>188281.8</v>
      </c>
      <c r="M203" s="13">
        <v>41699</v>
      </c>
      <c r="N203" s="10">
        <f t="shared" si="21"/>
        <v>3</v>
      </c>
      <c r="O203" s="8" t="str">
        <f t="shared" si="22"/>
        <v>March</v>
      </c>
      <c r="P203" s="7">
        <f t="shared" si="23"/>
        <v>2014</v>
      </c>
    </row>
    <row r="204" spans="1:16" ht="15.75" customHeight="1" x14ac:dyDescent="0.3">
      <c r="A204" s="7" t="s">
        <v>16</v>
      </c>
      <c r="B204" s="7" t="s">
        <v>17</v>
      </c>
      <c r="C204" s="8" t="s">
        <v>30</v>
      </c>
      <c r="D204" s="8" t="s">
        <v>33</v>
      </c>
      <c r="E204" s="7">
        <v>2646</v>
      </c>
      <c r="F204" s="8">
        <v>120</v>
      </c>
      <c r="G204" s="8">
        <v>20</v>
      </c>
      <c r="H204" s="8">
        <f t="shared" si="18"/>
        <v>370440</v>
      </c>
      <c r="I204" s="8">
        <v>2116.8000000000002</v>
      </c>
      <c r="J204" s="8">
        <f t="shared" si="19"/>
        <v>368323.2</v>
      </c>
      <c r="K204" s="8">
        <v>26460</v>
      </c>
      <c r="L204" s="8">
        <f t="shared" si="20"/>
        <v>341863.2</v>
      </c>
      <c r="M204" s="9">
        <v>41518</v>
      </c>
      <c r="N204" s="10">
        <f t="shared" si="21"/>
        <v>9</v>
      </c>
      <c r="O204" s="8" t="str">
        <f t="shared" si="22"/>
        <v>September</v>
      </c>
      <c r="P204" s="7">
        <f t="shared" si="23"/>
        <v>2013</v>
      </c>
    </row>
    <row r="205" spans="1:16" ht="15.75" customHeight="1" x14ac:dyDescent="0.3">
      <c r="A205" s="11" t="s">
        <v>16</v>
      </c>
      <c r="B205" s="11" t="s">
        <v>22</v>
      </c>
      <c r="C205" s="12" t="s">
        <v>30</v>
      </c>
      <c r="D205" s="12" t="s">
        <v>33</v>
      </c>
      <c r="E205" s="11">
        <v>2177</v>
      </c>
      <c r="F205" s="12">
        <v>120</v>
      </c>
      <c r="G205" s="12">
        <v>350</v>
      </c>
      <c r="H205" s="8">
        <f t="shared" si="18"/>
        <v>1023190</v>
      </c>
      <c r="I205" s="12">
        <v>30478</v>
      </c>
      <c r="J205" s="8">
        <f t="shared" si="19"/>
        <v>992712</v>
      </c>
      <c r="K205" s="12">
        <v>566020</v>
      </c>
      <c r="L205" s="8">
        <f t="shared" si="20"/>
        <v>426692</v>
      </c>
      <c r="M205" s="13">
        <v>41913</v>
      </c>
      <c r="N205" s="10">
        <f t="shared" si="21"/>
        <v>10</v>
      </c>
      <c r="O205" s="8" t="str">
        <f t="shared" si="22"/>
        <v>October</v>
      </c>
      <c r="P205" s="7">
        <f t="shared" si="23"/>
        <v>2014</v>
      </c>
    </row>
    <row r="206" spans="1:16" ht="15.75" customHeight="1" x14ac:dyDescent="0.3">
      <c r="A206" s="7" t="s">
        <v>25</v>
      </c>
      <c r="B206" s="7" t="s">
        <v>22</v>
      </c>
      <c r="C206" s="8" t="s">
        <v>31</v>
      </c>
      <c r="D206" s="8" t="s">
        <v>33</v>
      </c>
      <c r="E206" s="7">
        <v>866</v>
      </c>
      <c r="F206" s="8">
        <v>250</v>
      </c>
      <c r="G206" s="8">
        <v>12</v>
      </c>
      <c r="H206" s="8">
        <f t="shared" si="18"/>
        <v>226892</v>
      </c>
      <c r="I206" s="8">
        <v>415.68</v>
      </c>
      <c r="J206" s="8">
        <f t="shared" si="19"/>
        <v>226476.32</v>
      </c>
      <c r="K206" s="8">
        <v>2598</v>
      </c>
      <c r="L206" s="8">
        <f t="shared" si="20"/>
        <v>223878.32</v>
      </c>
      <c r="M206" s="9">
        <v>41760</v>
      </c>
      <c r="N206" s="10">
        <f t="shared" si="21"/>
        <v>5</v>
      </c>
      <c r="O206" s="8" t="str">
        <f t="shared" si="22"/>
        <v>May</v>
      </c>
      <c r="P206" s="7">
        <f t="shared" si="23"/>
        <v>2014</v>
      </c>
    </row>
    <row r="207" spans="1:16" ht="15.75" customHeight="1" x14ac:dyDescent="0.3">
      <c r="A207" s="11" t="s">
        <v>16</v>
      </c>
      <c r="B207" s="11" t="s">
        <v>28</v>
      </c>
      <c r="C207" s="12" t="s">
        <v>31</v>
      </c>
      <c r="D207" s="12" t="s">
        <v>33</v>
      </c>
      <c r="E207" s="11">
        <v>349</v>
      </c>
      <c r="F207" s="12">
        <v>250</v>
      </c>
      <c r="G207" s="12">
        <v>350</v>
      </c>
      <c r="H207" s="8">
        <f t="shared" si="18"/>
        <v>209400</v>
      </c>
      <c r="I207" s="12">
        <v>4886</v>
      </c>
      <c r="J207" s="8">
        <f t="shared" si="19"/>
        <v>204514</v>
      </c>
      <c r="K207" s="12">
        <v>90740</v>
      </c>
      <c r="L207" s="8">
        <f t="shared" si="20"/>
        <v>113774</v>
      </c>
      <c r="M207" s="13">
        <v>41518</v>
      </c>
      <c r="N207" s="10">
        <f t="shared" si="21"/>
        <v>9</v>
      </c>
      <c r="O207" s="8" t="str">
        <f t="shared" si="22"/>
        <v>September</v>
      </c>
      <c r="P207" s="7">
        <f t="shared" si="23"/>
        <v>2013</v>
      </c>
    </row>
    <row r="208" spans="1:16" ht="15.75" customHeight="1" x14ac:dyDescent="0.3">
      <c r="A208" s="7" t="s">
        <v>16</v>
      </c>
      <c r="B208" s="7" t="s">
        <v>22</v>
      </c>
      <c r="C208" s="8" t="s">
        <v>31</v>
      </c>
      <c r="D208" s="8" t="s">
        <v>33</v>
      </c>
      <c r="E208" s="7">
        <v>2177</v>
      </c>
      <c r="F208" s="8">
        <v>250</v>
      </c>
      <c r="G208" s="8">
        <v>350</v>
      </c>
      <c r="H208" s="8">
        <f t="shared" si="18"/>
        <v>1306200</v>
      </c>
      <c r="I208" s="8">
        <v>30478</v>
      </c>
      <c r="J208" s="8">
        <f t="shared" si="19"/>
        <v>1275722</v>
      </c>
      <c r="K208" s="8">
        <v>566020</v>
      </c>
      <c r="L208" s="8">
        <f t="shared" si="20"/>
        <v>709702</v>
      </c>
      <c r="M208" s="9">
        <v>41913</v>
      </c>
      <c r="N208" s="10">
        <f t="shared" si="21"/>
        <v>10</v>
      </c>
      <c r="O208" s="8" t="str">
        <f t="shared" si="22"/>
        <v>October</v>
      </c>
      <c r="P208" s="7">
        <f t="shared" si="23"/>
        <v>2014</v>
      </c>
    </row>
    <row r="209" spans="1:16" ht="15.75" customHeight="1" x14ac:dyDescent="0.3">
      <c r="A209" s="11" t="s">
        <v>21</v>
      </c>
      <c r="B209" s="11" t="s">
        <v>23</v>
      </c>
      <c r="C209" s="12" t="s">
        <v>31</v>
      </c>
      <c r="D209" s="12" t="s">
        <v>33</v>
      </c>
      <c r="E209" s="11">
        <v>1514</v>
      </c>
      <c r="F209" s="12">
        <v>250</v>
      </c>
      <c r="G209" s="12">
        <v>15</v>
      </c>
      <c r="H209" s="8">
        <f t="shared" si="18"/>
        <v>401210</v>
      </c>
      <c r="I209" s="12">
        <v>908.4</v>
      </c>
      <c r="J209" s="8">
        <f t="shared" si="19"/>
        <v>400301.6</v>
      </c>
      <c r="K209" s="12">
        <v>15140</v>
      </c>
      <c r="L209" s="8">
        <f t="shared" si="20"/>
        <v>385161.6</v>
      </c>
      <c r="M209" s="13">
        <v>41548</v>
      </c>
      <c r="N209" s="10">
        <f t="shared" si="21"/>
        <v>10</v>
      </c>
      <c r="O209" s="8" t="str">
        <f t="shared" si="22"/>
        <v>October</v>
      </c>
      <c r="P209" s="7">
        <f t="shared" si="23"/>
        <v>2013</v>
      </c>
    </row>
    <row r="210" spans="1:16" ht="15.75" customHeight="1" x14ac:dyDescent="0.3">
      <c r="A210" s="7" t="s">
        <v>16</v>
      </c>
      <c r="B210" s="7" t="s">
        <v>23</v>
      </c>
      <c r="C210" s="8" t="s">
        <v>32</v>
      </c>
      <c r="D210" s="8" t="s">
        <v>33</v>
      </c>
      <c r="E210" s="7">
        <v>1865</v>
      </c>
      <c r="F210" s="8">
        <v>260</v>
      </c>
      <c r="G210" s="8">
        <v>350</v>
      </c>
      <c r="H210" s="8">
        <f t="shared" si="18"/>
        <v>1137650</v>
      </c>
      <c r="I210" s="8">
        <v>26110</v>
      </c>
      <c r="J210" s="8">
        <f t="shared" si="19"/>
        <v>1111540</v>
      </c>
      <c r="K210" s="8">
        <v>484900</v>
      </c>
      <c r="L210" s="8">
        <f t="shared" si="20"/>
        <v>626640</v>
      </c>
      <c r="M210" s="9">
        <v>41671</v>
      </c>
      <c r="N210" s="10">
        <f t="shared" si="21"/>
        <v>2</v>
      </c>
      <c r="O210" s="8" t="str">
        <f t="shared" si="22"/>
        <v>February</v>
      </c>
      <c r="P210" s="7">
        <f t="shared" si="23"/>
        <v>2014</v>
      </c>
    </row>
    <row r="211" spans="1:16" ht="15.75" customHeight="1" x14ac:dyDescent="0.3">
      <c r="A211" s="11" t="s">
        <v>26</v>
      </c>
      <c r="B211" s="11" t="s">
        <v>23</v>
      </c>
      <c r="C211" s="12" t="s">
        <v>32</v>
      </c>
      <c r="D211" s="12" t="s">
        <v>33</v>
      </c>
      <c r="E211" s="11">
        <v>1074</v>
      </c>
      <c r="F211" s="12">
        <v>260</v>
      </c>
      <c r="G211" s="12">
        <v>125</v>
      </c>
      <c r="H211" s="8">
        <f t="shared" si="18"/>
        <v>413490</v>
      </c>
      <c r="I211" s="12">
        <v>5370</v>
      </c>
      <c r="J211" s="8">
        <f t="shared" si="19"/>
        <v>408120</v>
      </c>
      <c r="K211" s="12">
        <v>128880</v>
      </c>
      <c r="L211" s="8">
        <f t="shared" si="20"/>
        <v>279240</v>
      </c>
      <c r="M211" s="13">
        <v>41730</v>
      </c>
      <c r="N211" s="10">
        <f t="shared" si="21"/>
        <v>4</v>
      </c>
      <c r="O211" s="8" t="str">
        <f t="shared" si="22"/>
        <v>April</v>
      </c>
      <c r="P211" s="7">
        <f t="shared" si="23"/>
        <v>2014</v>
      </c>
    </row>
    <row r="212" spans="1:16" ht="15.75" customHeight="1" x14ac:dyDescent="0.3">
      <c r="A212" s="7" t="s">
        <v>16</v>
      </c>
      <c r="B212" s="7" t="s">
        <v>20</v>
      </c>
      <c r="C212" s="8" t="s">
        <v>32</v>
      </c>
      <c r="D212" s="8" t="s">
        <v>33</v>
      </c>
      <c r="E212" s="7">
        <v>1907</v>
      </c>
      <c r="F212" s="8">
        <v>260</v>
      </c>
      <c r="G212" s="8">
        <v>350</v>
      </c>
      <c r="H212" s="8">
        <f t="shared" si="18"/>
        <v>1163270</v>
      </c>
      <c r="I212" s="8">
        <v>26698</v>
      </c>
      <c r="J212" s="8">
        <f t="shared" si="19"/>
        <v>1136572</v>
      </c>
      <c r="K212" s="8">
        <v>495820</v>
      </c>
      <c r="L212" s="8">
        <f t="shared" si="20"/>
        <v>640752</v>
      </c>
      <c r="M212" s="9">
        <v>41883</v>
      </c>
      <c r="N212" s="10">
        <f t="shared" si="21"/>
        <v>9</v>
      </c>
      <c r="O212" s="8" t="str">
        <f t="shared" si="22"/>
        <v>September</v>
      </c>
      <c r="P212" s="7">
        <f t="shared" si="23"/>
        <v>2014</v>
      </c>
    </row>
    <row r="213" spans="1:16" ht="15.75" customHeight="1" x14ac:dyDescent="0.3">
      <c r="A213" s="11" t="s">
        <v>21</v>
      </c>
      <c r="B213" s="11" t="s">
        <v>28</v>
      </c>
      <c r="C213" s="12" t="s">
        <v>32</v>
      </c>
      <c r="D213" s="12" t="s">
        <v>33</v>
      </c>
      <c r="E213" s="11">
        <v>671</v>
      </c>
      <c r="F213" s="12">
        <v>260</v>
      </c>
      <c r="G213" s="12">
        <v>15</v>
      </c>
      <c r="H213" s="8">
        <f t="shared" si="18"/>
        <v>184525</v>
      </c>
      <c r="I213" s="12">
        <v>402.6</v>
      </c>
      <c r="J213" s="8">
        <f t="shared" si="19"/>
        <v>184122.4</v>
      </c>
      <c r="K213" s="12">
        <v>6710</v>
      </c>
      <c r="L213" s="8">
        <f t="shared" si="20"/>
        <v>177412.4</v>
      </c>
      <c r="M213" s="13">
        <v>41548</v>
      </c>
      <c r="N213" s="10">
        <f t="shared" si="21"/>
        <v>10</v>
      </c>
      <c r="O213" s="8" t="str">
        <f t="shared" si="22"/>
        <v>October</v>
      </c>
      <c r="P213" s="7">
        <f t="shared" si="23"/>
        <v>2013</v>
      </c>
    </row>
    <row r="214" spans="1:16" ht="15.75" customHeight="1" x14ac:dyDescent="0.3">
      <c r="A214" s="7" t="s">
        <v>16</v>
      </c>
      <c r="B214" s="7" t="s">
        <v>17</v>
      </c>
      <c r="C214" s="8" t="s">
        <v>32</v>
      </c>
      <c r="D214" s="8" t="s">
        <v>33</v>
      </c>
      <c r="E214" s="7">
        <v>1778</v>
      </c>
      <c r="F214" s="8">
        <v>260</v>
      </c>
      <c r="G214" s="8">
        <v>350</v>
      </c>
      <c r="H214" s="8">
        <f t="shared" si="18"/>
        <v>1084580</v>
      </c>
      <c r="I214" s="8">
        <v>24892</v>
      </c>
      <c r="J214" s="8">
        <f t="shared" si="19"/>
        <v>1059688</v>
      </c>
      <c r="K214" s="8">
        <v>462280</v>
      </c>
      <c r="L214" s="8">
        <f t="shared" si="20"/>
        <v>597408</v>
      </c>
      <c r="M214" s="9">
        <v>41609</v>
      </c>
      <c r="N214" s="10">
        <f t="shared" si="21"/>
        <v>12</v>
      </c>
      <c r="O214" s="8" t="str">
        <f t="shared" si="22"/>
        <v>December</v>
      </c>
      <c r="P214" s="7">
        <f t="shared" si="23"/>
        <v>2013</v>
      </c>
    </row>
    <row r="215" spans="1:16" ht="15.75" customHeight="1" x14ac:dyDescent="0.3">
      <c r="A215" s="11" t="s">
        <v>16</v>
      </c>
      <c r="B215" s="11" t="s">
        <v>20</v>
      </c>
      <c r="C215" s="12" t="s">
        <v>24</v>
      </c>
      <c r="D215" s="12" t="s">
        <v>34</v>
      </c>
      <c r="E215" s="11">
        <v>1159</v>
      </c>
      <c r="F215" s="12">
        <v>5</v>
      </c>
      <c r="G215" s="12">
        <v>7</v>
      </c>
      <c r="H215" s="8">
        <f t="shared" si="18"/>
        <v>13908</v>
      </c>
      <c r="I215" s="12">
        <v>405.65</v>
      </c>
      <c r="J215" s="8">
        <f t="shared" si="19"/>
        <v>13502.35</v>
      </c>
      <c r="K215" s="12">
        <v>5795</v>
      </c>
      <c r="L215" s="8">
        <f t="shared" si="20"/>
        <v>7707.35</v>
      </c>
      <c r="M215" s="13">
        <v>41548</v>
      </c>
      <c r="N215" s="10">
        <f t="shared" si="21"/>
        <v>10</v>
      </c>
      <c r="O215" s="8" t="str">
        <f t="shared" si="22"/>
        <v>October</v>
      </c>
      <c r="P215" s="7">
        <f t="shared" si="23"/>
        <v>2013</v>
      </c>
    </row>
    <row r="216" spans="1:16" ht="15.75" customHeight="1" x14ac:dyDescent="0.3">
      <c r="A216" s="7" t="s">
        <v>16</v>
      </c>
      <c r="B216" s="7" t="s">
        <v>20</v>
      </c>
      <c r="C216" s="8" t="s">
        <v>29</v>
      </c>
      <c r="D216" s="8" t="s">
        <v>34</v>
      </c>
      <c r="E216" s="7">
        <v>1372</v>
      </c>
      <c r="F216" s="8">
        <v>10</v>
      </c>
      <c r="G216" s="8">
        <v>7</v>
      </c>
      <c r="H216" s="8">
        <f t="shared" si="18"/>
        <v>23324</v>
      </c>
      <c r="I216" s="8">
        <v>480.2</v>
      </c>
      <c r="J216" s="8">
        <f t="shared" si="19"/>
        <v>22843.8</v>
      </c>
      <c r="K216" s="8">
        <v>6860</v>
      </c>
      <c r="L216" s="8">
        <f t="shared" si="20"/>
        <v>15983.8</v>
      </c>
      <c r="M216" s="9">
        <v>41640</v>
      </c>
      <c r="N216" s="10">
        <f t="shared" si="21"/>
        <v>1</v>
      </c>
      <c r="O216" s="8" t="str">
        <f t="shared" si="22"/>
        <v>January</v>
      </c>
      <c r="P216" s="7">
        <f t="shared" si="23"/>
        <v>2014</v>
      </c>
    </row>
    <row r="217" spans="1:16" ht="15.75" customHeight="1" x14ac:dyDescent="0.3">
      <c r="A217" s="11" t="s">
        <v>16</v>
      </c>
      <c r="B217" s="11" t="s">
        <v>17</v>
      </c>
      <c r="C217" s="12" t="s">
        <v>29</v>
      </c>
      <c r="D217" s="12" t="s">
        <v>34</v>
      </c>
      <c r="E217" s="11">
        <v>2349</v>
      </c>
      <c r="F217" s="12">
        <v>10</v>
      </c>
      <c r="G217" s="12">
        <v>7</v>
      </c>
      <c r="H217" s="8">
        <f t="shared" si="18"/>
        <v>39933</v>
      </c>
      <c r="I217" s="12">
        <v>822.15</v>
      </c>
      <c r="J217" s="8">
        <f t="shared" si="19"/>
        <v>39110.85</v>
      </c>
      <c r="K217" s="12">
        <v>11745</v>
      </c>
      <c r="L217" s="8">
        <f t="shared" si="20"/>
        <v>27365.85</v>
      </c>
      <c r="M217" s="13">
        <v>41518</v>
      </c>
      <c r="N217" s="10">
        <f t="shared" si="21"/>
        <v>9</v>
      </c>
      <c r="O217" s="8" t="str">
        <f t="shared" si="22"/>
        <v>September</v>
      </c>
      <c r="P217" s="7">
        <f t="shared" si="23"/>
        <v>2013</v>
      </c>
    </row>
    <row r="218" spans="1:16" ht="15.75" customHeight="1" x14ac:dyDescent="0.3">
      <c r="A218" s="7" t="s">
        <v>16</v>
      </c>
      <c r="B218" s="7" t="s">
        <v>23</v>
      </c>
      <c r="C218" s="8" t="s">
        <v>29</v>
      </c>
      <c r="D218" s="8" t="s">
        <v>34</v>
      </c>
      <c r="E218" s="7">
        <v>2689</v>
      </c>
      <c r="F218" s="8">
        <v>10</v>
      </c>
      <c r="G218" s="8">
        <v>7</v>
      </c>
      <c r="H218" s="8">
        <f t="shared" si="18"/>
        <v>45713</v>
      </c>
      <c r="I218" s="8">
        <v>941.15</v>
      </c>
      <c r="J218" s="8">
        <f t="shared" si="19"/>
        <v>44771.85</v>
      </c>
      <c r="K218" s="8">
        <v>13445</v>
      </c>
      <c r="L218" s="8">
        <f t="shared" si="20"/>
        <v>31326.85</v>
      </c>
      <c r="M218" s="9">
        <v>41913</v>
      </c>
      <c r="N218" s="10">
        <f t="shared" si="21"/>
        <v>10</v>
      </c>
      <c r="O218" s="8" t="str">
        <f t="shared" si="22"/>
        <v>October</v>
      </c>
      <c r="P218" s="7">
        <f t="shared" si="23"/>
        <v>2014</v>
      </c>
    </row>
    <row r="219" spans="1:16" ht="15.75" customHeight="1" x14ac:dyDescent="0.3">
      <c r="A219" s="11" t="s">
        <v>25</v>
      </c>
      <c r="B219" s="11" t="s">
        <v>17</v>
      </c>
      <c r="C219" s="12" t="s">
        <v>29</v>
      </c>
      <c r="D219" s="12" t="s">
        <v>34</v>
      </c>
      <c r="E219" s="11">
        <v>2431</v>
      </c>
      <c r="F219" s="12">
        <v>10</v>
      </c>
      <c r="G219" s="12">
        <v>12</v>
      </c>
      <c r="H219" s="8">
        <f t="shared" si="18"/>
        <v>53482</v>
      </c>
      <c r="I219" s="12">
        <v>1458.6</v>
      </c>
      <c r="J219" s="8">
        <f t="shared" si="19"/>
        <v>52023.4</v>
      </c>
      <c r="K219" s="12">
        <v>7293</v>
      </c>
      <c r="L219" s="8">
        <f t="shared" si="20"/>
        <v>44730.400000000001</v>
      </c>
      <c r="M219" s="13">
        <v>41974</v>
      </c>
      <c r="N219" s="10">
        <f t="shared" si="21"/>
        <v>12</v>
      </c>
      <c r="O219" s="8" t="str">
        <f t="shared" si="22"/>
        <v>December</v>
      </c>
      <c r="P219" s="7">
        <f t="shared" si="23"/>
        <v>2014</v>
      </c>
    </row>
    <row r="220" spans="1:16" ht="15.75" customHeight="1" x14ac:dyDescent="0.3">
      <c r="A220" s="7" t="s">
        <v>25</v>
      </c>
      <c r="B220" s="7" t="s">
        <v>17</v>
      </c>
      <c r="C220" s="8" t="s">
        <v>30</v>
      </c>
      <c r="D220" s="8" t="s">
        <v>34</v>
      </c>
      <c r="E220" s="7">
        <v>2431</v>
      </c>
      <c r="F220" s="8">
        <v>120</v>
      </c>
      <c r="G220" s="8">
        <v>12</v>
      </c>
      <c r="H220" s="8">
        <f t="shared" si="18"/>
        <v>320892</v>
      </c>
      <c r="I220" s="8">
        <v>1458.6</v>
      </c>
      <c r="J220" s="8">
        <f t="shared" si="19"/>
        <v>319433.40000000002</v>
      </c>
      <c r="K220" s="8">
        <v>7293</v>
      </c>
      <c r="L220" s="8">
        <f t="shared" si="20"/>
        <v>312140.40000000002</v>
      </c>
      <c r="M220" s="9">
        <v>41974</v>
      </c>
      <c r="N220" s="10">
        <f t="shared" si="21"/>
        <v>12</v>
      </c>
      <c r="O220" s="8" t="str">
        <f t="shared" si="22"/>
        <v>December</v>
      </c>
      <c r="P220" s="7">
        <f t="shared" si="23"/>
        <v>2014</v>
      </c>
    </row>
    <row r="221" spans="1:16" ht="15.75" customHeight="1" x14ac:dyDescent="0.3">
      <c r="A221" s="11" t="s">
        <v>16</v>
      </c>
      <c r="B221" s="11" t="s">
        <v>23</v>
      </c>
      <c r="C221" s="12" t="s">
        <v>31</v>
      </c>
      <c r="D221" s="12" t="s">
        <v>34</v>
      </c>
      <c r="E221" s="11">
        <v>2689</v>
      </c>
      <c r="F221" s="12">
        <v>250</v>
      </c>
      <c r="G221" s="12">
        <v>7</v>
      </c>
      <c r="H221" s="8">
        <f t="shared" si="18"/>
        <v>691073</v>
      </c>
      <c r="I221" s="12">
        <v>941.15</v>
      </c>
      <c r="J221" s="8">
        <f t="shared" si="19"/>
        <v>690131.85</v>
      </c>
      <c r="K221" s="12">
        <v>13445</v>
      </c>
      <c r="L221" s="8">
        <f t="shared" si="20"/>
        <v>676686.85</v>
      </c>
      <c r="M221" s="13">
        <v>41913</v>
      </c>
      <c r="N221" s="10">
        <f t="shared" si="21"/>
        <v>10</v>
      </c>
      <c r="O221" s="8" t="str">
        <f t="shared" si="22"/>
        <v>October</v>
      </c>
      <c r="P221" s="7">
        <f t="shared" si="23"/>
        <v>2014</v>
      </c>
    </row>
    <row r="222" spans="1:16" ht="15.75" customHeight="1" x14ac:dyDescent="0.3">
      <c r="A222" s="7" t="s">
        <v>16</v>
      </c>
      <c r="B222" s="7" t="s">
        <v>23</v>
      </c>
      <c r="C222" s="8" t="s">
        <v>32</v>
      </c>
      <c r="D222" s="8" t="s">
        <v>34</v>
      </c>
      <c r="E222" s="7">
        <v>1683</v>
      </c>
      <c r="F222" s="8">
        <v>260</v>
      </c>
      <c r="G222" s="8">
        <v>7</v>
      </c>
      <c r="H222" s="8">
        <f t="shared" si="18"/>
        <v>449361</v>
      </c>
      <c r="I222" s="8">
        <v>589.04999999999995</v>
      </c>
      <c r="J222" s="8">
        <f t="shared" si="19"/>
        <v>448771.95</v>
      </c>
      <c r="K222" s="8">
        <v>8415</v>
      </c>
      <c r="L222" s="8">
        <f t="shared" si="20"/>
        <v>440356.95</v>
      </c>
      <c r="M222" s="9">
        <v>41821</v>
      </c>
      <c r="N222" s="10">
        <f t="shared" si="21"/>
        <v>7</v>
      </c>
      <c r="O222" s="8" t="str">
        <f t="shared" si="22"/>
        <v>July</v>
      </c>
      <c r="P222" s="7">
        <f t="shared" si="23"/>
        <v>2014</v>
      </c>
    </row>
    <row r="223" spans="1:16" ht="15.75" customHeight="1" x14ac:dyDescent="0.3">
      <c r="A223" s="11" t="s">
        <v>25</v>
      </c>
      <c r="B223" s="11" t="s">
        <v>23</v>
      </c>
      <c r="C223" s="12" t="s">
        <v>32</v>
      </c>
      <c r="D223" s="12" t="s">
        <v>34</v>
      </c>
      <c r="E223" s="11">
        <v>1123</v>
      </c>
      <c r="F223" s="12">
        <v>260</v>
      </c>
      <c r="G223" s="12">
        <v>12</v>
      </c>
      <c r="H223" s="8">
        <f t="shared" si="18"/>
        <v>305456</v>
      </c>
      <c r="I223" s="12">
        <v>673.8</v>
      </c>
      <c r="J223" s="8">
        <f t="shared" si="19"/>
        <v>304782.2</v>
      </c>
      <c r="K223" s="12">
        <v>3369</v>
      </c>
      <c r="L223" s="8">
        <f t="shared" si="20"/>
        <v>301413.2</v>
      </c>
      <c r="M223" s="13">
        <v>41852</v>
      </c>
      <c r="N223" s="10">
        <f t="shared" si="21"/>
        <v>8</v>
      </c>
      <c r="O223" s="8" t="str">
        <f t="shared" si="22"/>
        <v>August</v>
      </c>
      <c r="P223" s="7">
        <f t="shared" si="23"/>
        <v>2014</v>
      </c>
    </row>
    <row r="224" spans="1:16" ht="15.75" customHeight="1" x14ac:dyDescent="0.3">
      <c r="A224" s="7" t="s">
        <v>16</v>
      </c>
      <c r="B224" s="7" t="s">
        <v>20</v>
      </c>
      <c r="C224" s="8" t="s">
        <v>32</v>
      </c>
      <c r="D224" s="8" t="s">
        <v>34</v>
      </c>
      <c r="E224" s="7">
        <v>1159</v>
      </c>
      <c r="F224" s="8">
        <v>260</v>
      </c>
      <c r="G224" s="8">
        <v>7</v>
      </c>
      <c r="H224" s="8">
        <f t="shared" si="18"/>
        <v>309453</v>
      </c>
      <c r="I224" s="8">
        <v>405.65</v>
      </c>
      <c r="J224" s="8">
        <f t="shared" si="19"/>
        <v>309047.34999999998</v>
      </c>
      <c r="K224" s="8">
        <v>5795</v>
      </c>
      <c r="L224" s="8">
        <f t="shared" si="20"/>
        <v>303252.34999999998</v>
      </c>
      <c r="M224" s="9">
        <v>41548</v>
      </c>
      <c r="N224" s="10">
        <f t="shared" si="21"/>
        <v>10</v>
      </c>
      <c r="O224" s="8" t="str">
        <f t="shared" si="22"/>
        <v>October</v>
      </c>
      <c r="P224" s="7">
        <f t="shared" si="23"/>
        <v>2013</v>
      </c>
    </row>
    <row r="225" spans="1:16" ht="15.75" customHeight="1" x14ac:dyDescent="0.3">
      <c r="A225" s="11" t="s">
        <v>25</v>
      </c>
      <c r="B225" s="11" t="s">
        <v>22</v>
      </c>
      <c r="C225" s="12" t="s">
        <v>18</v>
      </c>
      <c r="D225" s="12" t="s">
        <v>34</v>
      </c>
      <c r="E225" s="11">
        <v>1865</v>
      </c>
      <c r="F225" s="12">
        <v>3</v>
      </c>
      <c r="G225" s="12">
        <v>12</v>
      </c>
      <c r="H225" s="8">
        <f t="shared" si="18"/>
        <v>27975</v>
      </c>
      <c r="I225" s="12">
        <v>1119</v>
      </c>
      <c r="J225" s="8">
        <f t="shared" si="19"/>
        <v>26856</v>
      </c>
      <c r="K225" s="12">
        <v>5595</v>
      </c>
      <c r="L225" s="8">
        <f t="shared" si="20"/>
        <v>21261</v>
      </c>
      <c r="M225" s="13">
        <v>41671</v>
      </c>
      <c r="N225" s="10">
        <f t="shared" si="21"/>
        <v>2</v>
      </c>
      <c r="O225" s="8" t="str">
        <f t="shared" si="22"/>
        <v>February</v>
      </c>
      <c r="P225" s="7">
        <f t="shared" si="23"/>
        <v>2014</v>
      </c>
    </row>
    <row r="226" spans="1:16" ht="15.75" customHeight="1" x14ac:dyDescent="0.3">
      <c r="A226" s="7" t="s">
        <v>25</v>
      </c>
      <c r="B226" s="7" t="s">
        <v>20</v>
      </c>
      <c r="C226" s="8" t="s">
        <v>18</v>
      </c>
      <c r="D226" s="8" t="s">
        <v>34</v>
      </c>
      <c r="E226" s="7">
        <v>1116</v>
      </c>
      <c r="F226" s="8">
        <v>3</v>
      </c>
      <c r="G226" s="8">
        <v>12</v>
      </c>
      <c r="H226" s="8">
        <f t="shared" si="18"/>
        <v>16740</v>
      </c>
      <c r="I226" s="8">
        <v>669.6</v>
      </c>
      <c r="J226" s="8">
        <f t="shared" si="19"/>
        <v>16070.4</v>
      </c>
      <c r="K226" s="8">
        <v>3348</v>
      </c>
      <c r="L226" s="8">
        <f t="shared" si="20"/>
        <v>12722.4</v>
      </c>
      <c r="M226" s="9">
        <v>41671</v>
      </c>
      <c r="N226" s="10">
        <f t="shared" si="21"/>
        <v>2</v>
      </c>
      <c r="O226" s="8" t="str">
        <f t="shared" si="22"/>
        <v>February</v>
      </c>
      <c r="P226" s="7">
        <f t="shared" si="23"/>
        <v>2014</v>
      </c>
    </row>
    <row r="227" spans="1:16" ht="15.75" customHeight="1" x14ac:dyDescent="0.3">
      <c r="A227" s="11" t="s">
        <v>16</v>
      </c>
      <c r="B227" s="11" t="s">
        <v>22</v>
      </c>
      <c r="C227" s="12" t="s">
        <v>18</v>
      </c>
      <c r="D227" s="12" t="s">
        <v>34</v>
      </c>
      <c r="E227" s="11">
        <v>1563</v>
      </c>
      <c r="F227" s="12">
        <v>3</v>
      </c>
      <c r="G227" s="12">
        <v>20</v>
      </c>
      <c r="H227" s="8">
        <f t="shared" si="18"/>
        <v>35949</v>
      </c>
      <c r="I227" s="12">
        <v>1563</v>
      </c>
      <c r="J227" s="8">
        <f t="shared" si="19"/>
        <v>34386</v>
      </c>
      <c r="K227" s="12">
        <v>15630</v>
      </c>
      <c r="L227" s="8">
        <f t="shared" si="20"/>
        <v>18756</v>
      </c>
      <c r="M227" s="13">
        <v>41760</v>
      </c>
      <c r="N227" s="10">
        <f t="shared" si="21"/>
        <v>5</v>
      </c>
      <c r="O227" s="8" t="str">
        <f t="shared" si="22"/>
        <v>May</v>
      </c>
      <c r="P227" s="7">
        <f t="shared" si="23"/>
        <v>2014</v>
      </c>
    </row>
    <row r="228" spans="1:16" ht="15.75" customHeight="1" x14ac:dyDescent="0.3">
      <c r="A228" s="7" t="s">
        <v>27</v>
      </c>
      <c r="B228" s="7" t="s">
        <v>28</v>
      </c>
      <c r="C228" s="8" t="s">
        <v>18</v>
      </c>
      <c r="D228" s="8" t="s">
        <v>34</v>
      </c>
      <c r="E228" s="7">
        <v>991</v>
      </c>
      <c r="F228" s="8">
        <v>3</v>
      </c>
      <c r="G228" s="8">
        <v>300</v>
      </c>
      <c r="H228" s="8">
        <f t="shared" si="18"/>
        <v>300273</v>
      </c>
      <c r="I228" s="8">
        <v>14865</v>
      </c>
      <c r="J228" s="8">
        <f t="shared" si="19"/>
        <v>285408</v>
      </c>
      <c r="K228" s="8">
        <v>247750</v>
      </c>
      <c r="L228" s="8">
        <f t="shared" si="20"/>
        <v>37658</v>
      </c>
      <c r="M228" s="9">
        <v>41791</v>
      </c>
      <c r="N228" s="10">
        <f t="shared" si="21"/>
        <v>6</v>
      </c>
      <c r="O228" s="8" t="str">
        <f t="shared" si="22"/>
        <v>June</v>
      </c>
      <c r="P228" s="7">
        <f t="shared" si="23"/>
        <v>2014</v>
      </c>
    </row>
    <row r="229" spans="1:16" ht="15.75" customHeight="1" x14ac:dyDescent="0.3">
      <c r="A229" s="11" t="s">
        <v>16</v>
      </c>
      <c r="B229" s="11" t="s">
        <v>20</v>
      </c>
      <c r="C229" s="12" t="s">
        <v>18</v>
      </c>
      <c r="D229" s="12" t="s">
        <v>34</v>
      </c>
      <c r="E229" s="11">
        <v>1016</v>
      </c>
      <c r="F229" s="12">
        <v>3</v>
      </c>
      <c r="G229" s="12">
        <v>7</v>
      </c>
      <c r="H229" s="8">
        <f t="shared" si="18"/>
        <v>10160</v>
      </c>
      <c r="I229" s="12">
        <v>355.6</v>
      </c>
      <c r="J229" s="8">
        <f t="shared" si="19"/>
        <v>9804.4</v>
      </c>
      <c r="K229" s="12">
        <v>5080</v>
      </c>
      <c r="L229" s="8">
        <f t="shared" si="20"/>
        <v>4724.3999999999996</v>
      </c>
      <c r="M229" s="13">
        <v>41579</v>
      </c>
      <c r="N229" s="10">
        <f t="shared" si="21"/>
        <v>11</v>
      </c>
      <c r="O229" s="8" t="str">
        <f t="shared" si="22"/>
        <v>November</v>
      </c>
      <c r="P229" s="7">
        <f t="shared" si="23"/>
        <v>2013</v>
      </c>
    </row>
    <row r="230" spans="1:16" ht="15.75" customHeight="1" x14ac:dyDescent="0.3">
      <c r="A230" s="7" t="s">
        <v>21</v>
      </c>
      <c r="B230" s="7" t="s">
        <v>23</v>
      </c>
      <c r="C230" s="8" t="s">
        <v>18</v>
      </c>
      <c r="D230" s="8" t="s">
        <v>34</v>
      </c>
      <c r="E230" s="7">
        <v>2791</v>
      </c>
      <c r="F230" s="8">
        <v>3</v>
      </c>
      <c r="G230" s="8">
        <v>15</v>
      </c>
      <c r="H230" s="8">
        <f t="shared" si="18"/>
        <v>50238</v>
      </c>
      <c r="I230" s="8">
        <v>2093.25</v>
      </c>
      <c r="J230" s="8">
        <f t="shared" si="19"/>
        <v>48144.75</v>
      </c>
      <c r="K230" s="8">
        <v>27910</v>
      </c>
      <c r="L230" s="8">
        <f t="shared" si="20"/>
        <v>20234.75</v>
      </c>
      <c r="M230" s="9">
        <v>41944</v>
      </c>
      <c r="N230" s="10">
        <f t="shared" si="21"/>
        <v>11</v>
      </c>
      <c r="O230" s="8" t="str">
        <f t="shared" si="22"/>
        <v>November</v>
      </c>
      <c r="P230" s="7">
        <f t="shared" si="23"/>
        <v>2014</v>
      </c>
    </row>
    <row r="231" spans="1:16" ht="15.75" customHeight="1" x14ac:dyDescent="0.3">
      <c r="A231" s="11" t="s">
        <v>16</v>
      </c>
      <c r="B231" s="11" t="s">
        <v>28</v>
      </c>
      <c r="C231" s="12" t="s">
        <v>18</v>
      </c>
      <c r="D231" s="12" t="s">
        <v>34</v>
      </c>
      <c r="E231" s="11">
        <v>570</v>
      </c>
      <c r="F231" s="12">
        <v>3</v>
      </c>
      <c r="G231" s="12">
        <v>7</v>
      </c>
      <c r="H231" s="8">
        <f t="shared" si="18"/>
        <v>5700</v>
      </c>
      <c r="I231" s="12">
        <v>199.5</v>
      </c>
      <c r="J231" s="8">
        <f t="shared" si="19"/>
        <v>5500.5</v>
      </c>
      <c r="K231" s="12">
        <v>2850</v>
      </c>
      <c r="L231" s="8">
        <f t="shared" si="20"/>
        <v>2650.5</v>
      </c>
      <c r="M231" s="13">
        <v>41974</v>
      </c>
      <c r="N231" s="10">
        <f t="shared" si="21"/>
        <v>12</v>
      </c>
      <c r="O231" s="8" t="str">
        <f t="shared" si="22"/>
        <v>December</v>
      </c>
      <c r="P231" s="7">
        <f t="shared" si="23"/>
        <v>2014</v>
      </c>
    </row>
    <row r="232" spans="1:16" ht="15.75" customHeight="1" x14ac:dyDescent="0.3">
      <c r="A232" s="7" t="s">
        <v>16</v>
      </c>
      <c r="B232" s="7" t="s">
        <v>22</v>
      </c>
      <c r="C232" s="8" t="s">
        <v>18</v>
      </c>
      <c r="D232" s="8" t="s">
        <v>34</v>
      </c>
      <c r="E232" s="7">
        <v>2487</v>
      </c>
      <c r="F232" s="8">
        <v>3</v>
      </c>
      <c r="G232" s="8">
        <v>7</v>
      </c>
      <c r="H232" s="8">
        <f t="shared" si="18"/>
        <v>24870</v>
      </c>
      <c r="I232" s="8">
        <v>870.45</v>
      </c>
      <c r="J232" s="8">
        <f t="shared" si="19"/>
        <v>23999.55</v>
      </c>
      <c r="K232" s="8">
        <v>12435</v>
      </c>
      <c r="L232" s="8">
        <f t="shared" si="20"/>
        <v>11564.55</v>
      </c>
      <c r="M232" s="9">
        <v>41974</v>
      </c>
      <c r="N232" s="10">
        <f t="shared" si="21"/>
        <v>12</v>
      </c>
      <c r="O232" s="8" t="str">
        <f t="shared" si="22"/>
        <v>December</v>
      </c>
      <c r="P232" s="7">
        <f t="shared" si="23"/>
        <v>2014</v>
      </c>
    </row>
    <row r="233" spans="1:16" ht="15.75" customHeight="1" x14ac:dyDescent="0.3">
      <c r="A233" s="11" t="s">
        <v>16</v>
      </c>
      <c r="B233" s="11" t="s">
        <v>22</v>
      </c>
      <c r="C233" s="12" t="s">
        <v>24</v>
      </c>
      <c r="D233" s="12" t="s">
        <v>34</v>
      </c>
      <c r="E233" s="11">
        <v>1384.5</v>
      </c>
      <c r="F233" s="12">
        <v>5</v>
      </c>
      <c r="G233" s="12">
        <v>350</v>
      </c>
      <c r="H233" s="8">
        <f t="shared" si="18"/>
        <v>491497.5</v>
      </c>
      <c r="I233" s="12">
        <v>24228.75</v>
      </c>
      <c r="J233" s="8">
        <f t="shared" si="19"/>
        <v>467268.75</v>
      </c>
      <c r="K233" s="12">
        <v>359970</v>
      </c>
      <c r="L233" s="8">
        <f t="shared" si="20"/>
        <v>107298.75</v>
      </c>
      <c r="M233" s="13">
        <v>41640</v>
      </c>
      <c r="N233" s="10">
        <f t="shared" si="21"/>
        <v>1</v>
      </c>
      <c r="O233" s="8" t="str">
        <f t="shared" si="22"/>
        <v>January</v>
      </c>
      <c r="P233" s="7">
        <f t="shared" si="23"/>
        <v>2014</v>
      </c>
    </row>
    <row r="234" spans="1:16" ht="15.75" customHeight="1" x14ac:dyDescent="0.3">
      <c r="A234" s="7" t="s">
        <v>26</v>
      </c>
      <c r="B234" s="7" t="s">
        <v>28</v>
      </c>
      <c r="C234" s="8" t="s">
        <v>24</v>
      </c>
      <c r="D234" s="8" t="s">
        <v>34</v>
      </c>
      <c r="E234" s="7">
        <v>3627</v>
      </c>
      <c r="F234" s="8">
        <v>5</v>
      </c>
      <c r="G234" s="8">
        <v>125</v>
      </c>
      <c r="H234" s="8">
        <f t="shared" si="18"/>
        <v>471510</v>
      </c>
      <c r="I234" s="8">
        <v>22668.75</v>
      </c>
      <c r="J234" s="8">
        <f t="shared" si="19"/>
        <v>448841.25</v>
      </c>
      <c r="K234" s="8">
        <v>435240</v>
      </c>
      <c r="L234" s="8">
        <f t="shared" si="20"/>
        <v>13601.25</v>
      </c>
      <c r="M234" s="9">
        <v>41821</v>
      </c>
      <c r="N234" s="10">
        <f t="shared" si="21"/>
        <v>7</v>
      </c>
      <c r="O234" s="8" t="str">
        <f t="shared" si="22"/>
        <v>July</v>
      </c>
      <c r="P234" s="7">
        <f t="shared" si="23"/>
        <v>2014</v>
      </c>
    </row>
    <row r="235" spans="1:16" ht="15.75" customHeight="1" x14ac:dyDescent="0.3">
      <c r="A235" s="11" t="s">
        <v>16</v>
      </c>
      <c r="B235" s="11" t="s">
        <v>23</v>
      </c>
      <c r="C235" s="12" t="s">
        <v>24</v>
      </c>
      <c r="D235" s="12" t="s">
        <v>34</v>
      </c>
      <c r="E235" s="11">
        <v>720</v>
      </c>
      <c r="F235" s="12">
        <v>5</v>
      </c>
      <c r="G235" s="12">
        <v>350</v>
      </c>
      <c r="H235" s="8">
        <f t="shared" si="18"/>
        <v>255600</v>
      </c>
      <c r="I235" s="12">
        <v>12600</v>
      </c>
      <c r="J235" s="8">
        <f t="shared" si="19"/>
        <v>243000</v>
      </c>
      <c r="K235" s="12">
        <v>187200</v>
      </c>
      <c r="L235" s="8">
        <f t="shared" si="20"/>
        <v>55800</v>
      </c>
      <c r="M235" s="13">
        <v>41518</v>
      </c>
      <c r="N235" s="10">
        <f t="shared" si="21"/>
        <v>9</v>
      </c>
      <c r="O235" s="8" t="str">
        <f t="shared" si="22"/>
        <v>September</v>
      </c>
      <c r="P235" s="7">
        <f t="shared" si="23"/>
        <v>2013</v>
      </c>
    </row>
    <row r="236" spans="1:16" ht="15.75" customHeight="1" x14ac:dyDescent="0.3">
      <c r="A236" s="7" t="s">
        <v>25</v>
      </c>
      <c r="B236" s="7" t="s">
        <v>20</v>
      </c>
      <c r="C236" s="8" t="s">
        <v>24</v>
      </c>
      <c r="D236" s="8" t="s">
        <v>34</v>
      </c>
      <c r="E236" s="7">
        <v>2342</v>
      </c>
      <c r="F236" s="8">
        <v>5</v>
      </c>
      <c r="G236" s="8">
        <v>12</v>
      </c>
      <c r="H236" s="8">
        <f t="shared" si="18"/>
        <v>39814</v>
      </c>
      <c r="I236" s="8">
        <v>1405.2</v>
      </c>
      <c r="J236" s="8">
        <f t="shared" si="19"/>
        <v>38408.800000000003</v>
      </c>
      <c r="K236" s="8">
        <v>7026</v>
      </c>
      <c r="L236" s="8">
        <f t="shared" si="20"/>
        <v>31382.800000000003</v>
      </c>
      <c r="M236" s="9">
        <v>41944</v>
      </c>
      <c r="N236" s="10">
        <f t="shared" si="21"/>
        <v>11</v>
      </c>
      <c r="O236" s="8" t="str">
        <f t="shared" si="22"/>
        <v>November</v>
      </c>
      <c r="P236" s="7">
        <f t="shared" si="23"/>
        <v>2014</v>
      </c>
    </row>
    <row r="237" spans="1:16" ht="15.75" customHeight="1" x14ac:dyDescent="0.3">
      <c r="A237" s="11" t="s">
        <v>27</v>
      </c>
      <c r="B237" s="11" t="s">
        <v>23</v>
      </c>
      <c r="C237" s="12" t="s">
        <v>24</v>
      </c>
      <c r="D237" s="12" t="s">
        <v>34</v>
      </c>
      <c r="E237" s="11">
        <v>1100</v>
      </c>
      <c r="F237" s="12">
        <v>5</v>
      </c>
      <c r="G237" s="12">
        <v>300</v>
      </c>
      <c r="H237" s="8">
        <f t="shared" si="18"/>
        <v>335500</v>
      </c>
      <c r="I237" s="12">
        <v>16500</v>
      </c>
      <c r="J237" s="8">
        <f t="shared" si="19"/>
        <v>319000</v>
      </c>
      <c r="K237" s="12">
        <v>275000</v>
      </c>
      <c r="L237" s="8">
        <f t="shared" si="20"/>
        <v>44000</v>
      </c>
      <c r="M237" s="13">
        <v>41609</v>
      </c>
      <c r="N237" s="10">
        <f t="shared" si="21"/>
        <v>12</v>
      </c>
      <c r="O237" s="8" t="str">
        <f t="shared" si="22"/>
        <v>December</v>
      </c>
      <c r="P237" s="7">
        <f t="shared" si="23"/>
        <v>2013</v>
      </c>
    </row>
    <row r="238" spans="1:16" ht="15.75" customHeight="1" x14ac:dyDescent="0.3">
      <c r="A238" s="7" t="s">
        <v>16</v>
      </c>
      <c r="B238" s="7" t="s">
        <v>22</v>
      </c>
      <c r="C238" s="8" t="s">
        <v>29</v>
      </c>
      <c r="D238" s="8" t="s">
        <v>34</v>
      </c>
      <c r="E238" s="7">
        <v>1303</v>
      </c>
      <c r="F238" s="8">
        <v>10</v>
      </c>
      <c r="G238" s="8">
        <v>20</v>
      </c>
      <c r="H238" s="8">
        <f t="shared" si="18"/>
        <v>39090</v>
      </c>
      <c r="I238" s="8">
        <v>1303</v>
      </c>
      <c r="J238" s="8">
        <f t="shared" si="19"/>
        <v>37787</v>
      </c>
      <c r="K238" s="8">
        <v>13030</v>
      </c>
      <c r="L238" s="8">
        <f t="shared" si="20"/>
        <v>24757</v>
      </c>
      <c r="M238" s="9">
        <v>41671</v>
      </c>
      <c r="N238" s="10">
        <f t="shared" si="21"/>
        <v>2</v>
      </c>
      <c r="O238" s="8" t="str">
        <f t="shared" si="22"/>
        <v>February</v>
      </c>
      <c r="P238" s="7">
        <f t="shared" si="23"/>
        <v>2014</v>
      </c>
    </row>
    <row r="239" spans="1:16" ht="15.75" customHeight="1" x14ac:dyDescent="0.3">
      <c r="A239" s="11" t="s">
        <v>26</v>
      </c>
      <c r="B239" s="11" t="s">
        <v>28</v>
      </c>
      <c r="C239" s="12" t="s">
        <v>29</v>
      </c>
      <c r="D239" s="12" t="s">
        <v>34</v>
      </c>
      <c r="E239" s="11">
        <v>2992</v>
      </c>
      <c r="F239" s="12">
        <v>10</v>
      </c>
      <c r="G239" s="12">
        <v>125</v>
      </c>
      <c r="H239" s="8">
        <f t="shared" si="18"/>
        <v>403920</v>
      </c>
      <c r="I239" s="12">
        <v>18700</v>
      </c>
      <c r="J239" s="8">
        <f t="shared" si="19"/>
        <v>385220</v>
      </c>
      <c r="K239" s="12">
        <v>359040</v>
      </c>
      <c r="L239" s="8">
        <f t="shared" si="20"/>
        <v>26180</v>
      </c>
      <c r="M239" s="13">
        <v>41699</v>
      </c>
      <c r="N239" s="10">
        <f t="shared" si="21"/>
        <v>3</v>
      </c>
      <c r="O239" s="8" t="str">
        <f t="shared" si="22"/>
        <v>March</v>
      </c>
      <c r="P239" s="7">
        <f t="shared" si="23"/>
        <v>2014</v>
      </c>
    </row>
    <row r="240" spans="1:16" ht="15.75" customHeight="1" x14ac:dyDescent="0.3">
      <c r="A240" s="7" t="s">
        <v>26</v>
      </c>
      <c r="B240" s="7" t="s">
        <v>22</v>
      </c>
      <c r="C240" s="8" t="s">
        <v>29</v>
      </c>
      <c r="D240" s="8" t="s">
        <v>34</v>
      </c>
      <c r="E240" s="7">
        <v>2385</v>
      </c>
      <c r="F240" s="8">
        <v>10</v>
      </c>
      <c r="G240" s="8">
        <v>125</v>
      </c>
      <c r="H240" s="8">
        <f t="shared" si="18"/>
        <v>321975</v>
      </c>
      <c r="I240" s="8">
        <v>14906.25</v>
      </c>
      <c r="J240" s="8">
        <f t="shared" si="19"/>
        <v>307068.75</v>
      </c>
      <c r="K240" s="8">
        <v>286200</v>
      </c>
      <c r="L240" s="8">
        <f t="shared" si="20"/>
        <v>20868.75</v>
      </c>
      <c r="M240" s="9">
        <v>41699</v>
      </c>
      <c r="N240" s="10">
        <f t="shared" si="21"/>
        <v>3</v>
      </c>
      <c r="O240" s="8" t="str">
        <f t="shared" si="22"/>
        <v>March</v>
      </c>
      <c r="P240" s="7">
        <f t="shared" si="23"/>
        <v>2014</v>
      </c>
    </row>
    <row r="241" spans="1:16" ht="15.75" customHeight="1" x14ac:dyDescent="0.3">
      <c r="A241" s="11" t="s">
        <v>27</v>
      </c>
      <c r="B241" s="11" t="s">
        <v>23</v>
      </c>
      <c r="C241" s="12" t="s">
        <v>29</v>
      </c>
      <c r="D241" s="12" t="s">
        <v>34</v>
      </c>
      <c r="E241" s="11">
        <v>1607</v>
      </c>
      <c r="F241" s="12">
        <v>10</v>
      </c>
      <c r="G241" s="12">
        <v>300</v>
      </c>
      <c r="H241" s="8">
        <f t="shared" si="18"/>
        <v>498170</v>
      </c>
      <c r="I241" s="12">
        <v>24105</v>
      </c>
      <c r="J241" s="8">
        <f t="shared" si="19"/>
        <v>474065</v>
      </c>
      <c r="K241" s="12">
        <v>401750</v>
      </c>
      <c r="L241" s="8">
        <f t="shared" si="20"/>
        <v>72315</v>
      </c>
      <c r="M241" s="13">
        <v>41730</v>
      </c>
      <c r="N241" s="10">
        <f t="shared" si="21"/>
        <v>4</v>
      </c>
      <c r="O241" s="8" t="str">
        <f t="shared" si="22"/>
        <v>April</v>
      </c>
      <c r="P241" s="7">
        <f t="shared" si="23"/>
        <v>2014</v>
      </c>
    </row>
    <row r="242" spans="1:16" ht="15.75" customHeight="1" x14ac:dyDescent="0.3">
      <c r="A242" s="7" t="s">
        <v>16</v>
      </c>
      <c r="B242" s="7" t="s">
        <v>28</v>
      </c>
      <c r="C242" s="8" t="s">
        <v>29</v>
      </c>
      <c r="D242" s="8" t="s">
        <v>34</v>
      </c>
      <c r="E242" s="7">
        <v>2327</v>
      </c>
      <c r="F242" s="8">
        <v>10</v>
      </c>
      <c r="G242" s="8">
        <v>7</v>
      </c>
      <c r="H242" s="8">
        <f t="shared" si="18"/>
        <v>39559</v>
      </c>
      <c r="I242" s="8">
        <v>814.45</v>
      </c>
      <c r="J242" s="8">
        <f t="shared" si="19"/>
        <v>38744.550000000003</v>
      </c>
      <c r="K242" s="8">
        <v>11635</v>
      </c>
      <c r="L242" s="8">
        <f t="shared" si="20"/>
        <v>27109.550000000003</v>
      </c>
      <c r="M242" s="9">
        <v>41760</v>
      </c>
      <c r="N242" s="10">
        <f t="shared" si="21"/>
        <v>5</v>
      </c>
      <c r="O242" s="8" t="str">
        <f t="shared" si="22"/>
        <v>May</v>
      </c>
      <c r="P242" s="7">
        <f t="shared" si="23"/>
        <v>2014</v>
      </c>
    </row>
    <row r="243" spans="1:16" ht="15.75" customHeight="1" x14ac:dyDescent="0.3">
      <c r="A243" s="11" t="s">
        <v>27</v>
      </c>
      <c r="B243" s="11" t="s">
        <v>28</v>
      </c>
      <c r="C243" s="12" t="s">
        <v>29</v>
      </c>
      <c r="D243" s="12" t="s">
        <v>34</v>
      </c>
      <c r="E243" s="11">
        <v>991</v>
      </c>
      <c r="F243" s="12">
        <v>10</v>
      </c>
      <c r="G243" s="12">
        <v>300</v>
      </c>
      <c r="H243" s="8">
        <f t="shared" si="18"/>
        <v>307210</v>
      </c>
      <c r="I243" s="12">
        <v>14865</v>
      </c>
      <c r="J243" s="8">
        <f t="shared" si="19"/>
        <v>292345</v>
      </c>
      <c r="K243" s="12">
        <v>247750</v>
      </c>
      <c r="L243" s="8">
        <f t="shared" si="20"/>
        <v>44595</v>
      </c>
      <c r="M243" s="13">
        <v>41791</v>
      </c>
      <c r="N243" s="10">
        <f t="shared" si="21"/>
        <v>6</v>
      </c>
      <c r="O243" s="8" t="str">
        <f t="shared" si="22"/>
        <v>June</v>
      </c>
      <c r="P243" s="7">
        <f t="shared" si="23"/>
        <v>2014</v>
      </c>
    </row>
    <row r="244" spans="1:16" ht="15.75" customHeight="1" x14ac:dyDescent="0.3">
      <c r="A244" s="7" t="s">
        <v>16</v>
      </c>
      <c r="B244" s="7" t="s">
        <v>28</v>
      </c>
      <c r="C244" s="8" t="s">
        <v>29</v>
      </c>
      <c r="D244" s="8" t="s">
        <v>34</v>
      </c>
      <c r="E244" s="7">
        <v>602</v>
      </c>
      <c r="F244" s="8">
        <v>10</v>
      </c>
      <c r="G244" s="8">
        <v>350</v>
      </c>
      <c r="H244" s="8">
        <f t="shared" si="18"/>
        <v>216720</v>
      </c>
      <c r="I244" s="8">
        <v>10535</v>
      </c>
      <c r="J244" s="8">
        <f t="shared" si="19"/>
        <v>206185</v>
      </c>
      <c r="K244" s="8">
        <v>156520</v>
      </c>
      <c r="L244" s="8">
        <f t="shared" si="20"/>
        <v>49665</v>
      </c>
      <c r="M244" s="9">
        <v>41791</v>
      </c>
      <c r="N244" s="10">
        <f t="shared" si="21"/>
        <v>6</v>
      </c>
      <c r="O244" s="8" t="str">
        <f t="shared" si="22"/>
        <v>June</v>
      </c>
      <c r="P244" s="7">
        <f t="shared" si="23"/>
        <v>2014</v>
      </c>
    </row>
    <row r="245" spans="1:16" ht="15.75" customHeight="1" x14ac:dyDescent="0.3">
      <c r="A245" s="11" t="s">
        <v>21</v>
      </c>
      <c r="B245" s="11" t="s">
        <v>22</v>
      </c>
      <c r="C245" s="12" t="s">
        <v>29</v>
      </c>
      <c r="D245" s="12" t="s">
        <v>34</v>
      </c>
      <c r="E245" s="11">
        <v>2620</v>
      </c>
      <c r="F245" s="12">
        <v>10</v>
      </c>
      <c r="G245" s="12">
        <v>15</v>
      </c>
      <c r="H245" s="8">
        <f t="shared" si="18"/>
        <v>65500</v>
      </c>
      <c r="I245" s="12">
        <v>1965</v>
      </c>
      <c r="J245" s="8">
        <f t="shared" si="19"/>
        <v>63535</v>
      </c>
      <c r="K245" s="12">
        <v>26200</v>
      </c>
      <c r="L245" s="8">
        <f t="shared" si="20"/>
        <v>37335</v>
      </c>
      <c r="M245" s="13">
        <v>41883</v>
      </c>
      <c r="N245" s="10">
        <f t="shared" si="21"/>
        <v>9</v>
      </c>
      <c r="O245" s="8" t="str">
        <f t="shared" si="22"/>
        <v>September</v>
      </c>
      <c r="P245" s="7">
        <f t="shared" si="23"/>
        <v>2014</v>
      </c>
    </row>
    <row r="246" spans="1:16" ht="15.75" customHeight="1" x14ac:dyDescent="0.3">
      <c r="A246" s="7" t="s">
        <v>16</v>
      </c>
      <c r="B246" s="7" t="s">
        <v>17</v>
      </c>
      <c r="C246" s="8" t="s">
        <v>29</v>
      </c>
      <c r="D246" s="8" t="s">
        <v>34</v>
      </c>
      <c r="E246" s="7">
        <v>1228</v>
      </c>
      <c r="F246" s="8">
        <v>10</v>
      </c>
      <c r="G246" s="8">
        <v>350</v>
      </c>
      <c r="H246" s="8">
        <f t="shared" si="18"/>
        <v>442080</v>
      </c>
      <c r="I246" s="8">
        <v>21490</v>
      </c>
      <c r="J246" s="8">
        <f t="shared" si="19"/>
        <v>420590</v>
      </c>
      <c r="K246" s="8">
        <v>319280</v>
      </c>
      <c r="L246" s="8">
        <f t="shared" si="20"/>
        <v>101310</v>
      </c>
      <c r="M246" s="9">
        <v>41548</v>
      </c>
      <c r="N246" s="10">
        <f t="shared" si="21"/>
        <v>10</v>
      </c>
      <c r="O246" s="8" t="str">
        <f t="shared" si="22"/>
        <v>October</v>
      </c>
      <c r="P246" s="7">
        <f t="shared" si="23"/>
        <v>2013</v>
      </c>
    </row>
    <row r="247" spans="1:16" ht="15.75" customHeight="1" x14ac:dyDescent="0.3">
      <c r="A247" s="11" t="s">
        <v>16</v>
      </c>
      <c r="B247" s="11" t="s">
        <v>17</v>
      </c>
      <c r="C247" s="12" t="s">
        <v>29</v>
      </c>
      <c r="D247" s="12" t="s">
        <v>34</v>
      </c>
      <c r="E247" s="11">
        <v>1389</v>
      </c>
      <c r="F247" s="12">
        <v>10</v>
      </c>
      <c r="G247" s="12">
        <v>20</v>
      </c>
      <c r="H247" s="8">
        <f t="shared" si="18"/>
        <v>41670</v>
      </c>
      <c r="I247" s="12">
        <v>1389</v>
      </c>
      <c r="J247" s="8">
        <f t="shared" si="19"/>
        <v>40281</v>
      </c>
      <c r="K247" s="12">
        <v>13890</v>
      </c>
      <c r="L247" s="8">
        <f t="shared" si="20"/>
        <v>26391</v>
      </c>
      <c r="M247" s="13">
        <v>41548</v>
      </c>
      <c r="N247" s="10">
        <f t="shared" si="21"/>
        <v>10</v>
      </c>
      <c r="O247" s="8" t="str">
        <f t="shared" si="22"/>
        <v>October</v>
      </c>
      <c r="P247" s="7">
        <f t="shared" si="23"/>
        <v>2013</v>
      </c>
    </row>
    <row r="248" spans="1:16" ht="15.75" customHeight="1" x14ac:dyDescent="0.3">
      <c r="A248" s="7" t="s">
        <v>26</v>
      </c>
      <c r="B248" s="7" t="s">
        <v>28</v>
      </c>
      <c r="C248" s="8" t="s">
        <v>29</v>
      </c>
      <c r="D248" s="8" t="s">
        <v>34</v>
      </c>
      <c r="E248" s="7">
        <v>861</v>
      </c>
      <c r="F248" s="8">
        <v>10</v>
      </c>
      <c r="G248" s="8">
        <v>125</v>
      </c>
      <c r="H248" s="8">
        <f t="shared" si="18"/>
        <v>116235</v>
      </c>
      <c r="I248" s="8">
        <v>5381.25</v>
      </c>
      <c r="J248" s="8">
        <f t="shared" si="19"/>
        <v>110853.75</v>
      </c>
      <c r="K248" s="8">
        <v>103320</v>
      </c>
      <c r="L248" s="8">
        <f t="shared" si="20"/>
        <v>7533.75</v>
      </c>
      <c r="M248" s="9">
        <v>41913</v>
      </c>
      <c r="N248" s="10">
        <f t="shared" si="21"/>
        <v>10</v>
      </c>
      <c r="O248" s="8" t="str">
        <f t="shared" si="22"/>
        <v>October</v>
      </c>
      <c r="P248" s="7">
        <f t="shared" si="23"/>
        <v>2014</v>
      </c>
    </row>
    <row r="249" spans="1:16" ht="15.75" customHeight="1" x14ac:dyDescent="0.3">
      <c r="A249" s="11" t="s">
        <v>26</v>
      </c>
      <c r="B249" s="11" t="s">
        <v>22</v>
      </c>
      <c r="C249" s="12" t="s">
        <v>29</v>
      </c>
      <c r="D249" s="12" t="s">
        <v>34</v>
      </c>
      <c r="E249" s="11">
        <v>704</v>
      </c>
      <c r="F249" s="12">
        <v>10</v>
      </c>
      <c r="G249" s="12">
        <v>125</v>
      </c>
      <c r="H249" s="8">
        <f t="shared" si="18"/>
        <v>95040</v>
      </c>
      <c r="I249" s="12">
        <v>4400</v>
      </c>
      <c r="J249" s="8">
        <f t="shared" si="19"/>
        <v>90640</v>
      </c>
      <c r="K249" s="12">
        <v>84480</v>
      </c>
      <c r="L249" s="8">
        <f t="shared" si="20"/>
        <v>6160</v>
      </c>
      <c r="M249" s="13">
        <v>41548</v>
      </c>
      <c r="N249" s="10">
        <f t="shared" si="21"/>
        <v>10</v>
      </c>
      <c r="O249" s="8" t="str">
        <f t="shared" si="22"/>
        <v>October</v>
      </c>
      <c r="P249" s="7">
        <f t="shared" si="23"/>
        <v>2013</v>
      </c>
    </row>
    <row r="250" spans="1:16" ht="15.75" customHeight="1" x14ac:dyDescent="0.3">
      <c r="A250" s="7" t="s">
        <v>16</v>
      </c>
      <c r="B250" s="7" t="s">
        <v>17</v>
      </c>
      <c r="C250" s="8" t="s">
        <v>29</v>
      </c>
      <c r="D250" s="8" t="s">
        <v>34</v>
      </c>
      <c r="E250" s="7">
        <v>1802</v>
      </c>
      <c r="F250" s="8">
        <v>10</v>
      </c>
      <c r="G250" s="8">
        <v>20</v>
      </c>
      <c r="H250" s="8">
        <f t="shared" si="18"/>
        <v>54060</v>
      </c>
      <c r="I250" s="8">
        <v>1802</v>
      </c>
      <c r="J250" s="8">
        <f t="shared" si="19"/>
        <v>52258</v>
      </c>
      <c r="K250" s="8">
        <v>18020</v>
      </c>
      <c r="L250" s="8">
        <f t="shared" si="20"/>
        <v>34238</v>
      </c>
      <c r="M250" s="9">
        <v>41609</v>
      </c>
      <c r="N250" s="10">
        <f t="shared" si="21"/>
        <v>12</v>
      </c>
      <c r="O250" s="8" t="str">
        <f t="shared" si="22"/>
        <v>December</v>
      </c>
      <c r="P250" s="7">
        <f t="shared" si="23"/>
        <v>2013</v>
      </c>
    </row>
    <row r="251" spans="1:16" ht="15.75" customHeight="1" x14ac:dyDescent="0.3">
      <c r="A251" s="11" t="s">
        <v>16</v>
      </c>
      <c r="B251" s="11" t="s">
        <v>28</v>
      </c>
      <c r="C251" s="12" t="s">
        <v>29</v>
      </c>
      <c r="D251" s="12" t="s">
        <v>34</v>
      </c>
      <c r="E251" s="11">
        <v>2663</v>
      </c>
      <c r="F251" s="12">
        <v>10</v>
      </c>
      <c r="G251" s="12">
        <v>20</v>
      </c>
      <c r="H251" s="8">
        <f t="shared" si="18"/>
        <v>79890</v>
      </c>
      <c r="I251" s="12">
        <v>2663</v>
      </c>
      <c r="J251" s="8">
        <f t="shared" si="19"/>
        <v>77227</v>
      </c>
      <c r="K251" s="12">
        <v>26630</v>
      </c>
      <c r="L251" s="8">
        <f t="shared" si="20"/>
        <v>50597</v>
      </c>
      <c r="M251" s="13">
        <v>41974</v>
      </c>
      <c r="N251" s="10">
        <f t="shared" si="21"/>
        <v>12</v>
      </c>
      <c r="O251" s="8" t="str">
        <f t="shared" si="22"/>
        <v>December</v>
      </c>
      <c r="P251" s="7">
        <f t="shared" si="23"/>
        <v>2014</v>
      </c>
    </row>
    <row r="252" spans="1:16" ht="15.75" customHeight="1" x14ac:dyDescent="0.3">
      <c r="A252" s="7" t="s">
        <v>16</v>
      </c>
      <c r="B252" s="7" t="s">
        <v>22</v>
      </c>
      <c r="C252" s="8" t="s">
        <v>29</v>
      </c>
      <c r="D252" s="8" t="s">
        <v>34</v>
      </c>
      <c r="E252" s="7">
        <v>2136</v>
      </c>
      <c r="F252" s="8">
        <v>10</v>
      </c>
      <c r="G252" s="8">
        <v>7</v>
      </c>
      <c r="H252" s="8">
        <f t="shared" si="18"/>
        <v>36312</v>
      </c>
      <c r="I252" s="8">
        <v>747.6</v>
      </c>
      <c r="J252" s="8">
        <f t="shared" si="19"/>
        <v>35564.400000000001</v>
      </c>
      <c r="K252" s="8">
        <v>10680</v>
      </c>
      <c r="L252" s="8">
        <f t="shared" si="20"/>
        <v>24884.400000000001</v>
      </c>
      <c r="M252" s="9">
        <v>41609</v>
      </c>
      <c r="N252" s="10">
        <f t="shared" si="21"/>
        <v>12</v>
      </c>
      <c r="O252" s="8" t="str">
        <f t="shared" si="22"/>
        <v>December</v>
      </c>
      <c r="P252" s="7">
        <f t="shared" si="23"/>
        <v>2013</v>
      </c>
    </row>
    <row r="253" spans="1:16" ht="15.75" customHeight="1" x14ac:dyDescent="0.3">
      <c r="A253" s="11" t="s">
        <v>21</v>
      </c>
      <c r="B253" s="11" t="s">
        <v>20</v>
      </c>
      <c r="C253" s="12" t="s">
        <v>29</v>
      </c>
      <c r="D253" s="12" t="s">
        <v>34</v>
      </c>
      <c r="E253" s="11">
        <v>2116</v>
      </c>
      <c r="F253" s="12">
        <v>10</v>
      </c>
      <c r="G253" s="12">
        <v>15</v>
      </c>
      <c r="H253" s="8">
        <f t="shared" si="18"/>
        <v>52900</v>
      </c>
      <c r="I253" s="12">
        <v>1587</v>
      </c>
      <c r="J253" s="8">
        <f t="shared" si="19"/>
        <v>51313</v>
      </c>
      <c r="K253" s="12">
        <v>21160</v>
      </c>
      <c r="L253" s="8">
        <f t="shared" si="20"/>
        <v>30153</v>
      </c>
      <c r="M253" s="13">
        <v>41609</v>
      </c>
      <c r="N253" s="10">
        <f t="shared" si="21"/>
        <v>12</v>
      </c>
      <c r="O253" s="8" t="str">
        <f t="shared" si="22"/>
        <v>December</v>
      </c>
      <c r="P253" s="7">
        <f t="shared" si="23"/>
        <v>2013</v>
      </c>
    </row>
    <row r="254" spans="1:16" ht="15.75" customHeight="1" x14ac:dyDescent="0.3">
      <c r="A254" s="7" t="s">
        <v>21</v>
      </c>
      <c r="B254" s="7" t="s">
        <v>28</v>
      </c>
      <c r="C254" s="8" t="s">
        <v>30</v>
      </c>
      <c r="D254" s="8" t="s">
        <v>34</v>
      </c>
      <c r="E254" s="7">
        <v>555</v>
      </c>
      <c r="F254" s="8">
        <v>120</v>
      </c>
      <c r="G254" s="8">
        <v>15</v>
      </c>
      <c r="H254" s="8">
        <f t="shared" si="18"/>
        <v>74925</v>
      </c>
      <c r="I254" s="8">
        <v>416.25</v>
      </c>
      <c r="J254" s="8">
        <f t="shared" si="19"/>
        <v>74508.75</v>
      </c>
      <c r="K254" s="8">
        <v>5550</v>
      </c>
      <c r="L254" s="8">
        <f t="shared" si="20"/>
        <v>68958.75</v>
      </c>
      <c r="M254" s="9">
        <v>41640</v>
      </c>
      <c r="N254" s="10">
        <f t="shared" si="21"/>
        <v>1</v>
      </c>
      <c r="O254" s="8" t="str">
        <f t="shared" si="22"/>
        <v>January</v>
      </c>
      <c r="P254" s="7">
        <f t="shared" si="23"/>
        <v>2014</v>
      </c>
    </row>
    <row r="255" spans="1:16" ht="15.75" customHeight="1" x14ac:dyDescent="0.3">
      <c r="A255" s="11" t="s">
        <v>21</v>
      </c>
      <c r="B255" s="11" t="s">
        <v>23</v>
      </c>
      <c r="C255" s="12" t="s">
        <v>30</v>
      </c>
      <c r="D255" s="12" t="s">
        <v>34</v>
      </c>
      <c r="E255" s="11">
        <v>2861</v>
      </c>
      <c r="F255" s="12">
        <v>120</v>
      </c>
      <c r="G255" s="12">
        <v>15</v>
      </c>
      <c r="H255" s="8">
        <f t="shared" si="18"/>
        <v>386235</v>
      </c>
      <c r="I255" s="12">
        <v>2145.75</v>
      </c>
      <c r="J255" s="8">
        <f t="shared" si="19"/>
        <v>384089.25</v>
      </c>
      <c r="K255" s="12">
        <v>28610</v>
      </c>
      <c r="L255" s="8">
        <f t="shared" si="20"/>
        <v>355479.25</v>
      </c>
      <c r="M255" s="13">
        <v>41640</v>
      </c>
      <c r="N255" s="10">
        <f t="shared" si="21"/>
        <v>1</v>
      </c>
      <c r="O255" s="8" t="str">
        <f t="shared" si="22"/>
        <v>January</v>
      </c>
      <c r="P255" s="7">
        <f t="shared" si="23"/>
        <v>2014</v>
      </c>
    </row>
    <row r="256" spans="1:16" ht="15.75" customHeight="1" x14ac:dyDescent="0.3">
      <c r="A256" s="7" t="s">
        <v>26</v>
      </c>
      <c r="B256" s="7" t="s">
        <v>20</v>
      </c>
      <c r="C256" s="8" t="s">
        <v>30</v>
      </c>
      <c r="D256" s="8" t="s">
        <v>34</v>
      </c>
      <c r="E256" s="7">
        <v>807</v>
      </c>
      <c r="F256" s="8">
        <v>120</v>
      </c>
      <c r="G256" s="8">
        <v>125</v>
      </c>
      <c r="H256" s="8">
        <f t="shared" si="18"/>
        <v>197715</v>
      </c>
      <c r="I256" s="8">
        <v>5043.75</v>
      </c>
      <c r="J256" s="8">
        <f t="shared" si="19"/>
        <v>192671.25</v>
      </c>
      <c r="K256" s="8">
        <v>96840</v>
      </c>
      <c r="L256" s="8">
        <f t="shared" si="20"/>
        <v>95831.25</v>
      </c>
      <c r="M256" s="9">
        <v>41671</v>
      </c>
      <c r="N256" s="10">
        <f t="shared" si="21"/>
        <v>2</v>
      </c>
      <c r="O256" s="8" t="str">
        <f t="shared" si="22"/>
        <v>February</v>
      </c>
      <c r="P256" s="7">
        <f t="shared" si="23"/>
        <v>2014</v>
      </c>
    </row>
    <row r="257" spans="1:16" ht="15.75" customHeight="1" x14ac:dyDescent="0.3">
      <c r="A257" s="11" t="s">
        <v>16</v>
      </c>
      <c r="B257" s="11" t="s">
        <v>28</v>
      </c>
      <c r="C257" s="12" t="s">
        <v>30</v>
      </c>
      <c r="D257" s="12" t="s">
        <v>34</v>
      </c>
      <c r="E257" s="11">
        <v>602</v>
      </c>
      <c r="F257" s="12">
        <v>120</v>
      </c>
      <c r="G257" s="12">
        <v>350</v>
      </c>
      <c r="H257" s="8">
        <f t="shared" si="18"/>
        <v>282940</v>
      </c>
      <c r="I257" s="12">
        <v>10535</v>
      </c>
      <c r="J257" s="8">
        <f t="shared" si="19"/>
        <v>272405</v>
      </c>
      <c r="K257" s="12">
        <v>156520</v>
      </c>
      <c r="L257" s="8">
        <f t="shared" si="20"/>
        <v>115885</v>
      </c>
      <c r="M257" s="13">
        <v>41791</v>
      </c>
      <c r="N257" s="10">
        <f t="shared" si="21"/>
        <v>6</v>
      </c>
      <c r="O257" s="8" t="str">
        <f t="shared" si="22"/>
        <v>June</v>
      </c>
      <c r="P257" s="7">
        <f t="shared" si="23"/>
        <v>2014</v>
      </c>
    </row>
    <row r="258" spans="1:16" ht="15.75" customHeight="1" x14ac:dyDescent="0.3">
      <c r="A258" s="7" t="s">
        <v>16</v>
      </c>
      <c r="B258" s="7" t="s">
        <v>28</v>
      </c>
      <c r="C258" s="8" t="s">
        <v>30</v>
      </c>
      <c r="D258" s="8" t="s">
        <v>34</v>
      </c>
      <c r="E258" s="7">
        <v>2832</v>
      </c>
      <c r="F258" s="8">
        <v>120</v>
      </c>
      <c r="G258" s="8">
        <v>20</v>
      </c>
      <c r="H258" s="8">
        <f t="shared" si="18"/>
        <v>396480</v>
      </c>
      <c r="I258" s="8">
        <v>2832</v>
      </c>
      <c r="J258" s="8">
        <f t="shared" si="19"/>
        <v>393648</v>
      </c>
      <c r="K258" s="8">
        <v>28320</v>
      </c>
      <c r="L258" s="8">
        <f t="shared" si="20"/>
        <v>365328</v>
      </c>
      <c r="M258" s="9">
        <v>41852</v>
      </c>
      <c r="N258" s="10">
        <f t="shared" si="21"/>
        <v>8</v>
      </c>
      <c r="O258" s="8" t="str">
        <f t="shared" si="22"/>
        <v>August</v>
      </c>
      <c r="P258" s="7">
        <f t="shared" si="23"/>
        <v>2014</v>
      </c>
    </row>
    <row r="259" spans="1:16" ht="15.75" customHeight="1" x14ac:dyDescent="0.3">
      <c r="A259" s="11" t="s">
        <v>16</v>
      </c>
      <c r="B259" s="11" t="s">
        <v>22</v>
      </c>
      <c r="C259" s="12" t="s">
        <v>30</v>
      </c>
      <c r="D259" s="12" t="s">
        <v>34</v>
      </c>
      <c r="E259" s="11">
        <v>1579</v>
      </c>
      <c r="F259" s="12">
        <v>120</v>
      </c>
      <c r="G259" s="12">
        <v>20</v>
      </c>
      <c r="H259" s="8">
        <f t="shared" ref="H259:H322" si="24">E259*(F259+G259)</f>
        <v>221060</v>
      </c>
      <c r="I259" s="12">
        <v>1579</v>
      </c>
      <c r="J259" s="8">
        <f t="shared" ref="J259:J322" si="25">H259-I259</f>
        <v>219481</v>
      </c>
      <c r="K259" s="12">
        <v>15790</v>
      </c>
      <c r="L259" s="8">
        <f t="shared" ref="L259:L322" si="26">J259-K259</f>
        <v>203691</v>
      </c>
      <c r="M259" s="13">
        <v>41852</v>
      </c>
      <c r="N259" s="10">
        <f t="shared" ref="N259:N322" si="27">MONTH(M259)</f>
        <v>8</v>
      </c>
      <c r="O259" s="8" t="str">
        <f t="shared" ref="O259:O322" si="28">TEXT(M259,"MMMM")</f>
        <v>August</v>
      </c>
      <c r="P259" s="7">
        <f t="shared" ref="P259:P322" si="29">YEAR(M259)</f>
        <v>2014</v>
      </c>
    </row>
    <row r="260" spans="1:16" ht="15.75" customHeight="1" x14ac:dyDescent="0.3">
      <c r="A260" s="7" t="s">
        <v>26</v>
      </c>
      <c r="B260" s="7" t="s">
        <v>28</v>
      </c>
      <c r="C260" s="8" t="s">
        <v>30</v>
      </c>
      <c r="D260" s="8" t="s">
        <v>34</v>
      </c>
      <c r="E260" s="7">
        <v>861</v>
      </c>
      <c r="F260" s="8">
        <v>120</v>
      </c>
      <c r="G260" s="8">
        <v>125</v>
      </c>
      <c r="H260" s="8">
        <f t="shared" si="24"/>
        <v>210945</v>
      </c>
      <c r="I260" s="8">
        <v>5381.25</v>
      </c>
      <c r="J260" s="8">
        <f t="shared" si="25"/>
        <v>205563.75</v>
      </c>
      <c r="K260" s="8">
        <v>103320</v>
      </c>
      <c r="L260" s="8">
        <f t="shared" si="26"/>
        <v>102243.75</v>
      </c>
      <c r="M260" s="9">
        <v>41913</v>
      </c>
      <c r="N260" s="10">
        <f t="shared" si="27"/>
        <v>10</v>
      </c>
      <c r="O260" s="8" t="str">
        <f t="shared" si="28"/>
        <v>October</v>
      </c>
      <c r="P260" s="7">
        <f t="shared" si="29"/>
        <v>2014</v>
      </c>
    </row>
    <row r="261" spans="1:16" ht="15.75" customHeight="1" x14ac:dyDescent="0.3">
      <c r="A261" s="11" t="s">
        <v>26</v>
      </c>
      <c r="B261" s="11" t="s">
        <v>22</v>
      </c>
      <c r="C261" s="12" t="s">
        <v>30</v>
      </c>
      <c r="D261" s="12" t="s">
        <v>34</v>
      </c>
      <c r="E261" s="11">
        <v>704</v>
      </c>
      <c r="F261" s="12">
        <v>120</v>
      </c>
      <c r="G261" s="12">
        <v>125</v>
      </c>
      <c r="H261" s="8">
        <f t="shared" si="24"/>
        <v>172480</v>
      </c>
      <c r="I261" s="12">
        <v>4400</v>
      </c>
      <c r="J261" s="8">
        <f t="shared" si="25"/>
        <v>168080</v>
      </c>
      <c r="K261" s="12">
        <v>84480</v>
      </c>
      <c r="L261" s="8">
        <f t="shared" si="26"/>
        <v>83600</v>
      </c>
      <c r="M261" s="13">
        <v>41548</v>
      </c>
      <c r="N261" s="10">
        <f t="shared" si="27"/>
        <v>10</v>
      </c>
      <c r="O261" s="8" t="str">
        <f t="shared" si="28"/>
        <v>October</v>
      </c>
      <c r="P261" s="7">
        <f t="shared" si="29"/>
        <v>2013</v>
      </c>
    </row>
    <row r="262" spans="1:16" ht="15.75" customHeight="1" x14ac:dyDescent="0.3">
      <c r="A262" s="7" t="s">
        <v>16</v>
      </c>
      <c r="B262" s="7" t="s">
        <v>22</v>
      </c>
      <c r="C262" s="8" t="s">
        <v>30</v>
      </c>
      <c r="D262" s="8" t="s">
        <v>34</v>
      </c>
      <c r="E262" s="7">
        <v>1033</v>
      </c>
      <c r="F262" s="8">
        <v>120</v>
      </c>
      <c r="G262" s="8">
        <v>20</v>
      </c>
      <c r="H262" s="8">
        <f t="shared" si="24"/>
        <v>144620</v>
      </c>
      <c r="I262" s="8">
        <v>1033</v>
      </c>
      <c r="J262" s="8">
        <f t="shared" si="25"/>
        <v>143587</v>
      </c>
      <c r="K262" s="8">
        <v>10330</v>
      </c>
      <c r="L262" s="8">
        <f t="shared" si="26"/>
        <v>133257</v>
      </c>
      <c r="M262" s="9">
        <v>41609</v>
      </c>
      <c r="N262" s="10">
        <f t="shared" si="27"/>
        <v>12</v>
      </c>
      <c r="O262" s="8" t="str">
        <f t="shared" si="28"/>
        <v>December</v>
      </c>
      <c r="P262" s="7">
        <f t="shared" si="29"/>
        <v>2013</v>
      </c>
    </row>
    <row r="263" spans="1:16" ht="15.75" customHeight="1" x14ac:dyDescent="0.3">
      <c r="A263" s="11" t="s">
        <v>27</v>
      </c>
      <c r="B263" s="11" t="s">
        <v>20</v>
      </c>
      <c r="C263" s="12" t="s">
        <v>30</v>
      </c>
      <c r="D263" s="12" t="s">
        <v>34</v>
      </c>
      <c r="E263" s="11">
        <v>1250</v>
      </c>
      <c r="F263" s="12">
        <v>120</v>
      </c>
      <c r="G263" s="12">
        <v>300</v>
      </c>
      <c r="H263" s="8">
        <f t="shared" si="24"/>
        <v>525000</v>
      </c>
      <c r="I263" s="12">
        <v>18750</v>
      </c>
      <c r="J263" s="8">
        <f t="shared" si="25"/>
        <v>506250</v>
      </c>
      <c r="K263" s="12">
        <v>312500</v>
      </c>
      <c r="L263" s="8">
        <f t="shared" si="26"/>
        <v>193750</v>
      </c>
      <c r="M263" s="13">
        <v>41974</v>
      </c>
      <c r="N263" s="10">
        <f t="shared" si="27"/>
        <v>12</v>
      </c>
      <c r="O263" s="8" t="str">
        <f t="shared" si="28"/>
        <v>December</v>
      </c>
      <c r="P263" s="7">
        <f t="shared" si="29"/>
        <v>2014</v>
      </c>
    </row>
    <row r="264" spans="1:16" ht="15.75" customHeight="1" x14ac:dyDescent="0.3">
      <c r="A264" s="7" t="s">
        <v>16</v>
      </c>
      <c r="B264" s="7" t="s">
        <v>17</v>
      </c>
      <c r="C264" s="8" t="s">
        <v>31</v>
      </c>
      <c r="D264" s="8" t="s">
        <v>34</v>
      </c>
      <c r="E264" s="7">
        <v>1389</v>
      </c>
      <c r="F264" s="8">
        <v>250</v>
      </c>
      <c r="G264" s="8">
        <v>20</v>
      </c>
      <c r="H264" s="8">
        <f t="shared" si="24"/>
        <v>375030</v>
      </c>
      <c r="I264" s="8">
        <v>1389</v>
      </c>
      <c r="J264" s="8">
        <f t="shared" si="25"/>
        <v>373641</v>
      </c>
      <c r="K264" s="8">
        <v>13890</v>
      </c>
      <c r="L264" s="8">
        <f t="shared" si="26"/>
        <v>359751</v>
      </c>
      <c r="M264" s="9">
        <v>41548</v>
      </c>
      <c r="N264" s="10">
        <f t="shared" si="27"/>
        <v>10</v>
      </c>
      <c r="O264" s="8" t="str">
        <f t="shared" si="28"/>
        <v>October</v>
      </c>
      <c r="P264" s="7">
        <f t="shared" si="29"/>
        <v>2013</v>
      </c>
    </row>
    <row r="265" spans="1:16" ht="15.75" customHeight="1" x14ac:dyDescent="0.3">
      <c r="A265" s="11" t="s">
        <v>16</v>
      </c>
      <c r="B265" s="11" t="s">
        <v>28</v>
      </c>
      <c r="C265" s="12" t="s">
        <v>31</v>
      </c>
      <c r="D265" s="12" t="s">
        <v>34</v>
      </c>
      <c r="E265" s="11">
        <v>1265</v>
      </c>
      <c r="F265" s="12">
        <v>250</v>
      </c>
      <c r="G265" s="12">
        <v>20</v>
      </c>
      <c r="H265" s="8">
        <f t="shared" si="24"/>
        <v>341550</v>
      </c>
      <c r="I265" s="12">
        <v>1265</v>
      </c>
      <c r="J265" s="8">
        <f t="shared" si="25"/>
        <v>340285</v>
      </c>
      <c r="K265" s="12">
        <v>12650</v>
      </c>
      <c r="L265" s="8">
        <f t="shared" si="26"/>
        <v>327635</v>
      </c>
      <c r="M265" s="13">
        <v>41579</v>
      </c>
      <c r="N265" s="10">
        <f t="shared" si="27"/>
        <v>11</v>
      </c>
      <c r="O265" s="8" t="str">
        <f t="shared" si="28"/>
        <v>November</v>
      </c>
      <c r="P265" s="7">
        <f t="shared" si="29"/>
        <v>2013</v>
      </c>
    </row>
    <row r="266" spans="1:16" ht="15.75" customHeight="1" x14ac:dyDescent="0.3">
      <c r="A266" s="7" t="s">
        <v>16</v>
      </c>
      <c r="B266" s="7" t="s">
        <v>20</v>
      </c>
      <c r="C266" s="8" t="s">
        <v>31</v>
      </c>
      <c r="D266" s="8" t="s">
        <v>34</v>
      </c>
      <c r="E266" s="7">
        <v>2297</v>
      </c>
      <c r="F266" s="8">
        <v>250</v>
      </c>
      <c r="G266" s="8">
        <v>20</v>
      </c>
      <c r="H266" s="8">
        <f t="shared" si="24"/>
        <v>620190</v>
      </c>
      <c r="I266" s="8">
        <v>2297</v>
      </c>
      <c r="J266" s="8">
        <f t="shared" si="25"/>
        <v>617893</v>
      </c>
      <c r="K266" s="8">
        <v>22970</v>
      </c>
      <c r="L266" s="8">
        <f t="shared" si="26"/>
        <v>594923</v>
      </c>
      <c r="M266" s="9">
        <v>41579</v>
      </c>
      <c r="N266" s="10">
        <f t="shared" si="27"/>
        <v>11</v>
      </c>
      <c r="O266" s="8" t="str">
        <f t="shared" si="28"/>
        <v>November</v>
      </c>
      <c r="P266" s="7">
        <f t="shared" si="29"/>
        <v>2013</v>
      </c>
    </row>
    <row r="267" spans="1:16" ht="15.75" customHeight="1" x14ac:dyDescent="0.3">
      <c r="A267" s="11" t="s">
        <v>16</v>
      </c>
      <c r="B267" s="11" t="s">
        <v>28</v>
      </c>
      <c r="C267" s="12" t="s">
        <v>31</v>
      </c>
      <c r="D267" s="12" t="s">
        <v>34</v>
      </c>
      <c r="E267" s="11">
        <v>2663</v>
      </c>
      <c r="F267" s="12">
        <v>250</v>
      </c>
      <c r="G267" s="12">
        <v>20</v>
      </c>
      <c r="H267" s="8">
        <f t="shared" si="24"/>
        <v>719010</v>
      </c>
      <c r="I267" s="12">
        <v>2663</v>
      </c>
      <c r="J267" s="8">
        <f t="shared" si="25"/>
        <v>716347</v>
      </c>
      <c r="K267" s="12">
        <v>26630</v>
      </c>
      <c r="L267" s="8">
        <f t="shared" si="26"/>
        <v>689717</v>
      </c>
      <c r="M267" s="13">
        <v>41974</v>
      </c>
      <c r="N267" s="10">
        <f t="shared" si="27"/>
        <v>12</v>
      </c>
      <c r="O267" s="8" t="str">
        <f t="shared" si="28"/>
        <v>December</v>
      </c>
      <c r="P267" s="7">
        <f t="shared" si="29"/>
        <v>2014</v>
      </c>
    </row>
    <row r="268" spans="1:16" ht="15.75" customHeight="1" x14ac:dyDescent="0.3">
      <c r="A268" s="7" t="s">
        <v>16</v>
      </c>
      <c r="B268" s="7" t="s">
        <v>28</v>
      </c>
      <c r="C268" s="8" t="s">
        <v>31</v>
      </c>
      <c r="D268" s="8" t="s">
        <v>34</v>
      </c>
      <c r="E268" s="7">
        <v>570</v>
      </c>
      <c r="F268" s="8">
        <v>250</v>
      </c>
      <c r="G268" s="8">
        <v>7</v>
      </c>
      <c r="H268" s="8">
        <f t="shared" si="24"/>
        <v>146490</v>
      </c>
      <c r="I268" s="8">
        <v>199.5</v>
      </c>
      <c r="J268" s="8">
        <f t="shared" si="25"/>
        <v>146290.5</v>
      </c>
      <c r="K268" s="8">
        <v>2850</v>
      </c>
      <c r="L268" s="8">
        <f t="shared" si="26"/>
        <v>143440.5</v>
      </c>
      <c r="M268" s="9">
        <v>41974</v>
      </c>
      <c r="N268" s="10">
        <f t="shared" si="27"/>
        <v>12</v>
      </c>
      <c r="O268" s="8" t="str">
        <f t="shared" si="28"/>
        <v>December</v>
      </c>
      <c r="P268" s="7">
        <f t="shared" si="29"/>
        <v>2014</v>
      </c>
    </row>
    <row r="269" spans="1:16" ht="15.75" customHeight="1" x14ac:dyDescent="0.3">
      <c r="A269" s="11" t="s">
        <v>16</v>
      </c>
      <c r="B269" s="11" t="s">
        <v>22</v>
      </c>
      <c r="C269" s="12" t="s">
        <v>31</v>
      </c>
      <c r="D269" s="12" t="s">
        <v>34</v>
      </c>
      <c r="E269" s="11">
        <v>2487</v>
      </c>
      <c r="F269" s="12">
        <v>250</v>
      </c>
      <c r="G269" s="12">
        <v>7</v>
      </c>
      <c r="H269" s="8">
        <f t="shared" si="24"/>
        <v>639159</v>
      </c>
      <c r="I269" s="12">
        <v>870.45</v>
      </c>
      <c r="J269" s="8">
        <f t="shared" si="25"/>
        <v>638288.55000000005</v>
      </c>
      <c r="K269" s="12">
        <v>12435</v>
      </c>
      <c r="L269" s="8">
        <f t="shared" si="26"/>
        <v>625853.55000000005</v>
      </c>
      <c r="M269" s="13">
        <v>41974</v>
      </c>
      <c r="N269" s="10">
        <f t="shared" si="27"/>
        <v>12</v>
      </c>
      <c r="O269" s="8" t="str">
        <f t="shared" si="28"/>
        <v>December</v>
      </c>
      <c r="P269" s="7">
        <f t="shared" si="29"/>
        <v>2014</v>
      </c>
    </row>
    <row r="270" spans="1:16" ht="15.75" customHeight="1" x14ac:dyDescent="0.3">
      <c r="A270" s="7" t="s">
        <v>16</v>
      </c>
      <c r="B270" s="7" t="s">
        <v>20</v>
      </c>
      <c r="C270" s="8" t="s">
        <v>32</v>
      </c>
      <c r="D270" s="8" t="s">
        <v>34</v>
      </c>
      <c r="E270" s="7">
        <v>1350</v>
      </c>
      <c r="F270" s="8">
        <v>260</v>
      </c>
      <c r="G270" s="8">
        <v>350</v>
      </c>
      <c r="H270" s="8">
        <f t="shared" si="24"/>
        <v>823500</v>
      </c>
      <c r="I270" s="8">
        <v>23625</v>
      </c>
      <c r="J270" s="8">
        <f t="shared" si="25"/>
        <v>799875</v>
      </c>
      <c r="K270" s="8">
        <v>351000</v>
      </c>
      <c r="L270" s="8">
        <f t="shared" si="26"/>
        <v>448875</v>
      </c>
      <c r="M270" s="9">
        <v>41671</v>
      </c>
      <c r="N270" s="10">
        <f t="shared" si="27"/>
        <v>2</v>
      </c>
      <c r="O270" s="8" t="str">
        <f t="shared" si="28"/>
        <v>February</v>
      </c>
      <c r="P270" s="7">
        <f t="shared" si="29"/>
        <v>2014</v>
      </c>
    </row>
    <row r="271" spans="1:16" ht="15.75" customHeight="1" x14ac:dyDescent="0.3">
      <c r="A271" s="11" t="s">
        <v>16</v>
      </c>
      <c r="B271" s="11" t="s">
        <v>17</v>
      </c>
      <c r="C271" s="12" t="s">
        <v>32</v>
      </c>
      <c r="D271" s="12" t="s">
        <v>34</v>
      </c>
      <c r="E271" s="11">
        <v>552</v>
      </c>
      <c r="F271" s="12">
        <v>260</v>
      </c>
      <c r="G271" s="12">
        <v>350</v>
      </c>
      <c r="H271" s="8">
        <f t="shared" si="24"/>
        <v>336720</v>
      </c>
      <c r="I271" s="12">
        <v>9660</v>
      </c>
      <c r="J271" s="8">
        <f t="shared" si="25"/>
        <v>327060</v>
      </c>
      <c r="K271" s="12">
        <v>143520</v>
      </c>
      <c r="L271" s="8">
        <f t="shared" si="26"/>
        <v>183540</v>
      </c>
      <c r="M271" s="13">
        <v>41852</v>
      </c>
      <c r="N271" s="10">
        <f t="shared" si="27"/>
        <v>8</v>
      </c>
      <c r="O271" s="8" t="str">
        <f t="shared" si="28"/>
        <v>August</v>
      </c>
      <c r="P271" s="7">
        <f t="shared" si="29"/>
        <v>2014</v>
      </c>
    </row>
    <row r="272" spans="1:16" ht="15.75" customHeight="1" x14ac:dyDescent="0.3">
      <c r="A272" s="7" t="s">
        <v>16</v>
      </c>
      <c r="B272" s="7" t="s">
        <v>17</v>
      </c>
      <c r="C272" s="8" t="s">
        <v>32</v>
      </c>
      <c r="D272" s="8" t="s">
        <v>34</v>
      </c>
      <c r="E272" s="7">
        <v>1228</v>
      </c>
      <c r="F272" s="8">
        <v>260</v>
      </c>
      <c r="G272" s="8">
        <v>350</v>
      </c>
      <c r="H272" s="8">
        <f t="shared" si="24"/>
        <v>749080</v>
      </c>
      <c r="I272" s="8">
        <v>21490</v>
      </c>
      <c r="J272" s="8">
        <f t="shared" si="25"/>
        <v>727590</v>
      </c>
      <c r="K272" s="8">
        <v>319280</v>
      </c>
      <c r="L272" s="8">
        <f t="shared" si="26"/>
        <v>408310</v>
      </c>
      <c r="M272" s="9">
        <v>41548</v>
      </c>
      <c r="N272" s="10">
        <f t="shared" si="27"/>
        <v>10</v>
      </c>
      <c r="O272" s="8" t="str">
        <f t="shared" si="28"/>
        <v>October</v>
      </c>
      <c r="P272" s="7">
        <f t="shared" si="29"/>
        <v>2013</v>
      </c>
    </row>
    <row r="273" spans="1:16" ht="15.75" customHeight="1" x14ac:dyDescent="0.3">
      <c r="A273" s="11" t="s">
        <v>27</v>
      </c>
      <c r="B273" s="11" t="s">
        <v>20</v>
      </c>
      <c r="C273" s="12" t="s">
        <v>32</v>
      </c>
      <c r="D273" s="12" t="s">
        <v>34</v>
      </c>
      <c r="E273" s="11">
        <v>1250</v>
      </c>
      <c r="F273" s="12">
        <v>260</v>
      </c>
      <c r="G273" s="12">
        <v>300</v>
      </c>
      <c r="H273" s="8">
        <f t="shared" si="24"/>
        <v>700000</v>
      </c>
      <c r="I273" s="12">
        <v>18750</v>
      </c>
      <c r="J273" s="8">
        <f t="shared" si="25"/>
        <v>681250</v>
      </c>
      <c r="K273" s="12">
        <v>312500</v>
      </c>
      <c r="L273" s="8">
        <f t="shared" si="26"/>
        <v>368750</v>
      </c>
      <c r="M273" s="13">
        <v>41974</v>
      </c>
      <c r="N273" s="10">
        <f t="shared" si="27"/>
        <v>12</v>
      </c>
      <c r="O273" s="8" t="str">
        <f t="shared" si="28"/>
        <v>December</v>
      </c>
      <c r="P273" s="7">
        <f t="shared" si="29"/>
        <v>2014</v>
      </c>
    </row>
    <row r="274" spans="1:16" ht="15.75" customHeight="1" x14ac:dyDescent="0.3">
      <c r="A274" s="7" t="s">
        <v>21</v>
      </c>
      <c r="B274" s="7" t="s">
        <v>22</v>
      </c>
      <c r="C274" s="8" t="s">
        <v>29</v>
      </c>
      <c r="D274" s="8" t="s">
        <v>34</v>
      </c>
      <c r="E274" s="7">
        <v>3801</v>
      </c>
      <c r="F274" s="8">
        <v>10</v>
      </c>
      <c r="G274" s="8">
        <v>15</v>
      </c>
      <c r="H274" s="8">
        <f t="shared" si="24"/>
        <v>95025</v>
      </c>
      <c r="I274" s="8">
        <v>3420.8999999999996</v>
      </c>
      <c r="J274" s="8">
        <f t="shared" si="25"/>
        <v>91604.1</v>
      </c>
      <c r="K274" s="8">
        <v>38010</v>
      </c>
      <c r="L274" s="8">
        <f t="shared" si="26"/>
        <v>53594.100000000006</v>
      </c>
      <c r="M274" s="9">
        <v>41730</v>
      </c>
      <c r="N274" s="10">
        <f t="shared" si="27"/>
        <v>4</v>
      </c>
      <c r="O274" s="8" t="str">
        <f t="shared" si="28"/>
        <v>April</v>
      </c>
      <c r="P274" s="7">
        <f t="shared" si="29"/>
        <v>2014</v>
      </c>
    </row>
    <row r="275" spans="1:16" ht="15.75" customHeight="1" x14ac:dyDescent="0.3">
      <c r="A275" s="11" t="s">
        <v>16</v>
      </c>
      <c r="B275" s="11" t="s">
        <v>28</v>
      </c>
      <c r="C275" s="12" t="s">
        <v>18</v>
      </c>
      <c r="D275" s="12" t="s">
        <v>34</v>
      </c>
      <c r="E275" s="11">
        <v>1117.5</v>
      </c>
      <c r="F275" s="12">
        <v>3</v>
      </c>
      <c r="G275" s="12">
        <v>20</v>
      </c>
      <c r="H275" s="8">
        <f t="shared" si="24"/>
        <v>25702.5</v>
      </c>
      <c r="I275" s="12">
        <v>1341</v>
      </c>
      <c r="J275" s="8">
        <f t="shared" si="25"/>
        <v>24361.5</v>
      </c>
      <c r="K275" s="12">
        <v>11175</v>
      </c>
      <c r="L275" s="8">
        <f t="shared" si="26"/>
        <v>13186.5</v>
      </c>
      <c r="M275" s="13">
        <v>41640</v>
      </c>
      <c r="N275" s="10">
        <f t="shared" si="27"/>
        <v>1</v>
      </c>
      <c r="O275" s="8" t="str">
        <f t="shared" si="28"/>
        <v>January</v>
      </c>
      <c r="P275" s="7">
        <f t="shared" si="29"/>
        <v>2014</v>
      </c>
    </row>
    <row r="276" spans="1:16" ht="15.75" customHeight="1" x14ac:dyDescent="0.3">
      <c r="A276" s="7" t="s">
        <v>21</v>
      </c>
      <c r="B276" s="7" t="s">
        <v>17</v>
      </c>
      <c r="C276" s="8" t="s">
        <v>18</v>
      </c>
      <c r="D276" s="8" t="s">
        <v>34</v>
      </c>
      <c r="E276" s="7">
        <v>2844</v>
      </c>
      <c r="F276" s="8">
        <v>3</v>
      </c>
      <c r="G276" s="8">
        <v>15</v>
      </c>
      <c r="H276" s="8">
        <f t="shared" si="24"/>
        <v>51192</v>
      </c>
      <c r="I276" s="8">
        <v>2559.6</v>
      </c>
      <c r="J276" s="8">
        <f t="shared" si="25"/>
        <v>48632.4</v>
      </c>
      <c r="K276" s="8">
        <v>28440</v>
      </c>
      <c r="L276" s="8">
        <f t="shared" si="26"/>
        <v>20192.400000000001</v>
      </c>
      <c r="M276" s="9">
        <v>41791</v>
      </c>
      <c r="N276" s="10">
        <f t="shared" si="27"/>
        <v>6</v>
      </c>
      <c r="O276" s="8" t="str">
        <f t="shared" si="28"/>
        <v>June</v>
      </c>
      <c r="P276" s="7">
        <f t="shared" si="29"/>
        <v>2014</v>
      </c>
    </row>
    <row r="277" spans="1:16" ht="15.75" customHeight="1" x14ac:dyDescent="0.3">
      <c r="A277" s="11" t="s">
        <v>25</v>
      </c>
      <c r="B277" s="11" t="s">
        <v>23</v>
      </c>
      <c r="C277" s="12" t="s">
        <v>18</v>
      </c>
      <c r="D277" s="12" t="s">
        <v>34</v>
      </c>
      <c r="E277" s="11">
        <v>562</v>
      </c>
      <c r="F277" s="12">
        <v>3</v>
      </c>
      <c r="G277" s="12">
        <v>12</v>
      </c>
      <c r="H277" s="8">
        <f t="shared" si="24"/>
        <v>8430</v>
      </c>
      <c r="I277" s="12">
        <v>404.64</v>
      </c>
      <c r="J277" s="8">
        <f t="shared" si="25"/>
        <v>8025.36</v>
      </c>
      <c r="K277" s="12">
        <v>1686</v>
      </c>
      <c r="L277" s="8">
        <f t="shared" si="26"/>
        <v>6339.36</v>
      </c>
      <c r="M277" s="13">
        <v>41883</v>
      </c>
      <c r="N277" s="10">
        <f t="shared" si="27"/>
        <v>9</v>
      </c>
      <c r="O277" s="8" t="str">
        <f t="shared" si="28"/>
        <v>September</v>
      </c>
      <c r="P277" s="7">
        <f t="shared" si="29"/>
        <v>2014</v>
      </c>
    </row>
    <row r="278" spans="1:16" ht="15.75" customHeight="1" x14ac:dyDescent="0.3">
      <c r="A278" s="7" t="s">
        <v>25</v>
      </c>
      <c r="B278" s="7" t="s">
        <v>17</v>
      </c>
      <c r="C278" s="8" t="s">
        <v>18</v>
      </c>
      <c r="D278" s="8" t="s">
        <v>34</v>
      </c>
      <c r="E278" s="7">
        <v>2299</v>
      </c>
      <c r="F278" s="8">
        <v>3</v>
      </c>
      <c r="G278" s="8">
        <v>12</v>
      </c>
      <c r="H278" s="8">
        <f t="shared" si="24"/>
        <v>34485</v>
      </c>
      <c r="I278" s="8">
        <v>1655.28</v>
      </c>
      <c r="J278" s="8">
        <f t="shared" si="25"/>
        <v>32829.72</v>
      </c>
      <c r="K278" s="8">
        <v>6897</v>
      </c>
      <c r="L278" s="8">
        <f t="shared" si="26"/>
        <v>25932.720000000001</v>
      </c>
      <c r="M278" s="9">
        <v>41548</v>
      </c>
      <c r="N278" s="10">
        <f t="shared" si="27"/>
        <v>10</v>
      </c>
      <c r="O278" s="8" t="str">
        <f t="shared" si="28"/>
        <v>October</v>
      </c>
      <c r="P278" s="7">
        <f t="shared" si="29"/>
        <v>2013</v>
      </c>
    </row>
    <row r="279" spans="1:16" ht="15.75" customHeight="1" x14ac:dyDescent="0.3">
      <c r="A279" s="11" t="s">
        <v>21</v>
      </c>
      <c r="B279" s="11" t="s">
        <v>28</v>
      </c>
      <c r="C279" s="12" t="s">
        <v>18</v>
      </c>
      <c r="D279" s="12" t="s">
        <v>34</v>
      </c>
      <c r="E279" s="11">
        <v>2030</v>
      </c>
      <c r="F279" s="12">
        <v>3</v>
      </c>
      <c r="G279" s="12">
        <v>15</v>
      </c>
      <c r="H279" s="8">
        <f t="shared" si="24"/>
        <v>36540</v>
      </c>
      <c r="I279" s="12">
        <v>1827</v>
      </c>
      <c r="J279" s="8">
        <f t="shared" si="25"/>
        <v>34713</v>
      </c>
      <c r="K279" s="12">
        <v>20300</v>
      </c>
      <c r="L279" s="8">
        <f t="shared" si="26"/>
        <v>14413</v>
      </c>
      <c r="M279" s="13">
        <v>41944</v>
      </c>
      <c r="N279" s="10">
        <f t="shared" si="27"/>
        <v>11</v>
      </c>
      <c r="O279" s="8" t="str">
        <f t="shared" si="28"/>
        <v>November</v>
      </c>
      <c r="P279" s="7">
        <f t="shared" si="29"/>
        <v>2014</v>
      </c>
    </row>
    <row r="280" spans="1:16" ht="15.75" customHeight="1" x14ac:dyDescent="0.3">
      <c r="A280" s="7" t="s">
        <v>16</v>
      </c>
      <c r="B280" s="7" t="s">
        <v>28</v>
      </c>
      <c r="C280" s="8" t="s">
        <v>18</v>
      </c>
      <c r="D280" s="8" t="s">
        <v>34</v>
      </c>
      <c r="E280" s="7">
        <v>263</v>
      </c>
      <c r="F280" s="8">
        <v>3</v>
      </c>
      <c r="G280" s="8">
        <v>7</v>
      </c>
      <c r="H280" s="8">
        <f t="shared" si="24"/>
        <v>2630</v>
      </c>
      <c r="I280" s="8">
        <v>110.46</v>
      </c>
      <c r="J280" s="8">
        <f t="shared" si="25"/>
        <v>2519.54</v>
      </c>
      <c r="K280" s="8">
        <v>1315</v>
      </c>
      <c r="L280" s="8">
        <f t="shared" si="26"/>
        <v>1204.54</v>
      </c>
      <c r="M280" s="9">
        <v>41579</v>
      </c>
      <c r="N280" s="10">
        <f t="shared" si="27"/>
        <v>11</v>
      </c>
      <c r="O280" s="8" t="str">
        <f t="shared" si="28"/>
        <v>November</v>
      </c>
      <c r="P280" s="7">
        <f t="shared" si="29"/>
        <v>2013</v>
      </c>
    </row>
    <row r="281" spans="1:16" ht="15.75" customHeight="1" x14ac:dyDescent="0.3">
      <c r="A281" s="11" t="s">
        <v>26</v>
      </c>
      <c r="B281" s="11" t="s">
        <v>20</v>
      </c>
      <c r="C281" s="12" t="s">
        <v>18</v>
      </c>
      <c r="D281" s="12" t="s">
        <v>34</v>
      </c>
      <c r="E281" s="11">
        <v>887</v>
      </c>
      <c r="F281" s="12">
        <v>3</v>
      </c>
      <c r="G281" s="12">
        <v>125</v>
      </c>
      <c r="H281" s="8">
        <f t="shared" si="24"/>
        <v>113536</v>
      </c>
      <c r="I281" s="12">
        <v>6652.5</v>
      </c>
      <c r="J281" s="8">
        <f t="shared" si="25"/>
        <v>106883.5</v>
      </c>
      <c r="K281" s="12">
        <v>106440</v>
      </c>
      <c r="L281" s="8">
        <f t="shared" si="26"/>
        <v>443.5</v>
      </c>
      <c r="M281" s="13">
        <v>41609</v>
      </c>
      <c r="N281" s="10">
        <f t="shared" si="27"/>
        <v>12</v>
      </c>
      <c r="O281" s="8" t="str">
        <f t="shared" si="28"/>
        <v>December</v>
      </c>
      <c r="P281" s="7">
        <f t="shared" si="29"/>
        <v>2013</v>
      </c>
    </row>
    <row r="282" spans="1:16" ht="15.75" customHeight="1" x14ac:dyDescent="0.3">
      <c r="A282" s="7" t="s">
        <v>16</v>
      </c>
      <c r="B282" s="7" t="s">
        <v>23</v>
      </c>
      <c r="C282" s="8" t="s">
        <v>24</v>
      </c>
      <c r="D282" s="8" t="s">
        <v>34</v>
      </c>
      <c r="E282" s="7">
        <v>980</v>
      </c>
      <c r="F282" s="8">
        <v>5</v>
      </c>
      <c r="G282" s="8">
        <v>350</v>
      </c>
      <c r="H282" s="8">
        <f t="shared" si="24"/>
        <v>347900</v>
      </c>
      <c r="I282" s="8">
        <v>20580</v>
      </c>
      <c r="J282" s="8">
        <f t="shared" si="25"/>
        <v>327320</v>
      </c>
      <c r="K282" s="8">
        <v>254800</v>
      </c>
      <c r="L282" s="8">
        <f t="shared" si="26"/>
        <v>72520</v>
      </c>
      <c r="M282" s="9">
        <v>41730</v>
      </c>
      <c r="N282" s="10">
        <f t="shared" si="27"/>
        <v>4</v>
      </c>
      <c r="O282" s="8" t="str">
        <f t="shared" si="28"/>
        <v>April</v>
      </c>
      <c r="P282" s="7">
        <f t="shared" si="29"/>
        <v>2014</v>
      </c>
    </row>
    <row r="283" spans="1:16" ht="15.75" customHeight="1" x14ac:dyDescent="0.3">
      <c r="A283" s="11" t="s">
        <v>16</v>
      </c>
      <c r="B283" s="11" t="s">
        <v>20</v>
      </c>
      <c r="C283" s="12" t="s">
        <v>24</v>
      </c>
      <c r="D283" s="12" t="s">
        <v>34</v>
      </c>
      <c r="E283" s="11">
        <v>1460</v>
      </c>
      <c r="F283" s="12">
        <v>5</v>
      </c>
      <c r="G283" s="12">
        <v>350</v>
      </c>
      <c r="H283" s="8">
        <f t="shared" si="24"/>
        <v>518300</v>
      </c>
      <c r="I283" s="12">
        <v>30660</v>
      </c>
      <c r="J283" s="8">
        <f t="shared" si="25"/>
        <v>487640</v>
      </c>
      <c r="K283" s="12">
        <v>379600</v>
      </c>
      <c r="L283" s="8">
        <f t="shared" si="26"/>
        <v>108040</v>
      </c>
      <c r="M283" s="13">
        <v>41760</v>
      </c>
      <c r="N283" s="10">
        <f t="shared" si="27"/>
        <v>5</v>
      </c>
      <c r="O283" s="8" t="str">
        <f t="shared" si="28"/>
        <v>May</v>
      </c>
      <c r="P283" s="7">
        <f t="shared" si="29"/>
        <v>2014</v>
      </c>
    </row>
    <row r="284" spans="1:16" ht="15.75" customHeight="1" x14ac:dyDescent="0.3">
      <c r="A284" s="7" t="s">
        <v>16</v>
      </c>
      <c r="B284" s="7" t="s">
        <v>22</v>
      </c>
      <c r="C284" s="8" t="s">
        <v>24</v>
      </c>
      <c r="D284" s="8" t="s">
        <v>34</v>
      </c>
      <c r="E284" s="7">
        <v>1403</v>
      </c>
      <c r="F284" s="8">
        <v>5</v>
      </c>
      <c r="G284" s="8">
        <v>7</v>
      </c>
      <c r="H284" s="8">
        <f t="shared" si="24"/>
        <v>16836</v>
      </c>
      <c r="I284" s="8">
        <v>589.26</v>
      </c>
      <c r="J284" s="8">
        <f t="shared" si="25"/>
        <v>16246.74</v>
      </c>
      <c r="K284" s="8">
        <v>7015</v>
      </c>
      <c r="L284" s="8">
        <f t="shared" si="26"/>
        <v>9231.74</v>
      </c>
      <c r="M284" s="9">
        <v>41548</v>
      </c>
      <c r="N284" s="10">
        <f t="shared" si="27"/>
        <v>10</v>
      </c>
      <c r="O284" s="8" t="str">
        <f t="shared" si="28"/>
        <v>October</v>
      </c>
      <c r="P284" s="7">
        <f t="shared" si="29"/>
        <v>2013</v>
      </c>
    </row>
    <row r="285" spans="1:16" ht="15.75" customHeight="1" x14ac:dyDescent="0.3">
      <c r="A285" s="11" t="s">
        <v>25</v>
      </c>
      <c r="B285" s="11" t="s">
        <v>28</v>
      </c>
      <c r="C285" s="12" t="s">
        <v>24</v>
      </c>
      <c r="D285" s="12" t="s">
        <v>34</v>
      </c>
      <c r="E285" s="11">
        <v>2723</v>
      </c>
      <c r="F285" s="12">
        <v>5</v>
      </c>
      <c r="G285" s="12">
        <v>12</v>
      </c>
      <c r="H285" s="8">
        <f t="shared" si="24"/>
        <v>46291</v>
      </c>
      <c r="I285" s="12">
        <v>1960.56</v>
      </c>
      <c r="J285" s="8">
        <f t="shared" si="25"/>
        <v>44330.44</v>
      </c>
      <c r="K285" s="12">
        <v>8169</v>
      </c>
      <c r="L285" s="8">
        <f t="shared" si="26"/>
        <v>36161.440000000002</v>
      </c>
      <c r="M285" s="13">
        <v>41944</v>
      </c>
      <c r="N285" s="10">
        <f t="shared" si="27"/>
        <v>11</v>
      </c>
      <c r="O285" s="8" t="str">
        <f t="shared" si="28"/>
        <v>November</v>
      </c>
      <c r="P285" s="7">
        <f t="shared" si="29"/>
        <v>2014</v>
      </c>
    </row>
    <row r="286" spans="1:16" ht="15.75" customHeight="1" x14ac:dyDescent="0.3">
      <c r="A286" s="7" t="s">
        <v>16</v>
      </c>
      <c r="B286" s="7" t="s">
        <v>22</v>
      </c>
      <c r="C286" s="8" t="s">
        <v>29</v>
      </c>
      <c r="D286" s="8" t="s">
        <v>34</v>
      </c>
      <c r="E286" s="7">
        <v>1496</v>
      </c>
      <c r="F286" s="8">
        <v>10</v>
      </c>
      <c r="G286" s="8">
        <v>350</v>
      </c>
      <c r="H286" s="8">
        <f t="shared" si="24"/>
        <v>538560</v>
      </c>
      <c r="I286" s="8">
        <v>31416</v>
      </c>
      <c r="J286" s="8">
        <f t="shared" si="25"/>
        <v>507144</v>
      </c>
      <c r="K286" s="8">
        <v>388960</v>
      </c>
      <c r="L286" s="8">
        <f t="shared" si="26"/>
        <v>118184</v>
      </c>
      <c r="M286" s="9">
        <v>41791</v>
      </c>
      <c r="N286" s="10">
        <f t="shared" si="27"/>
        <v>6</v>
      </c>
      <c r="O286" s="8" t="str">
        <f t="shared" si="28"/>
        <v>June</v>
      </c>
      <c r="P286" s="7">
        <f t="shared" si="29"/>
        <v>2014</v>
      </c>
    </row>
    <row r="287" spans="1:16" ht="15.75" customHeight="1" x14ac:dyDescent="0.3">
      <c r="A287" s="11" t="s">
        <v>25</v>
      </c>
      <c r="B287" s="11" t="s">
        <v>17</v>
      </c>
      <c r="C287" s="12" t="s">
        <v>29</v>
      </c>
      <c r="D287" s="12" t="s">
        <v>34</v>
      </c>
      <c r="E287" s="11">
        <v>2299</v>
      </c>
      <c r="F287" s="12">
        <v>10</v>
      </c>
      <c r="G287" s="12">
        <v>12</v>
      </c>
      <c r="H287" s="8">
        <f t="shared" si="24"/>
        <v>50578</v>
      </c>
      <c r="I287" s="12">
        <v>1655.28</v>
      </c>
      <c r="J287" s="8">
        <f t="shared" si="25"/>
        <v>48922.720000000001</v>
      </c>
      <c r="K287" s="12">
        <v>6897</v>
      </c>
      <c r="L287" s="8">
        <f t="shared" si="26"/>
        <v>42025.72</v>
      </c>
      <c r="M287" s="13">
        <v>41548</v>
      </c>
      <c r="N287" s="10">
        <f t="shared" si="27"/>
        <v>10</v>
      </c>
      <c r="O287" s="8" t="str">
        <f t="shared" si="28"/>
        <v>October</v>
      </c>
      <c r="P287" s="7">
        <f t="shared" si="29"/>
        <v>2013</v>
      </c>
    </row>
    <row r="288" spans="1:16" ht="15.75" customHeight="1" x14ac:dyDescent="0.3">
      <c r="A288" s="7" t="s">
        <v>16</v>
      </c>
      <c r="B288" s="7" t="s">
        <v>28</v>
      </c>
      <c r="C288" s="8" t="s">
        <v>29</v>
      </c>
      <c r="D288" s="8" t="s">
        <v>34</v>
      </c>
      <c r="E288" s="7">
        <v>727</v>
      </c>
      <c r="F288" s="8">
        <v>10</v>
      </c>
      <c r="G288" s="8">
        <v>350</v>
      </c>
      <c r="H288" s="8">
        <f t="shared" si="24"/>
        <v>261720</v>
      </c>
      <c r="I288" s="8">
        <v>15267</v>
      </c>
      <c r="J288" s="8">
        <f t="shared" si="25"/>
        <v>246453</v>
      </c>
      <c r="K288" s="8">
        <v>189020</v>
      </c>
      <c r="L288" s="8">
        <f t="shared" si="26"/>
        <v>57433</v>
      </c>
      <c r="M288" s="9">
        <v>41548</v>
      </c>
      <c r="N288" s="10">
        <f t="shared" si="27"/>
        <v>10</v>
      </c>
      <c r="O288" s="8" t="str">
        <f t="shared" si="28"/>
        <v>October</v>
      </c>
      <c r="P288" s="7">
        <f t="shared" si="29"/>
        <v>2013</v>
      </c>
    </row>
    <row r="289" spans="1:16" ht="15.75" customHeight="1" x14ac:dyDescent="0.3">
      <c r="A289" s="11" t="s">
        <v>26</v>
      </c>
      <c r="B289" s="11" t="s">
        <v>17</v>
      </c>
      <c r="C289" s="12" t="s">
        <v>30</v>
      </c>
      <c r="D289" s="12" t="s">
        <v>34</v>
      </c>
      <c r="E289" s="11">
        <v>952</v>
      </c>
      <c r="F289" s="12">
        <v>120</v>
      </c>
      <c r="G289" s="12">
        <v>125</v>
      </c>
      <c r="H289" s="8">
        <f t="shared" si="24"/>
        <v>233240</v>
      </c>
      <c r="I289" s="12">
        <v>7140</v>
      </c>
      <c r="J289" s="8">
        <f t="shared" si="25"/>
        <v>226100</v>
      </c>
      <c r="K289" s="12">
        <v>114240</v>
      </c>
      <c r="L289" s="8">
        <f t="shared" si="26"/>
        <v>111860</v>
      </c>
      <c r="M289" s="13">
        <v>41671</v>
      </c>
      <c r="N289" s="10">
        <f t="shared" si="27"/>
        <v>2</v>
      </c>
      <c r="O289" s="8" t="str">
        <f t="shared" si="28"/>
        <v>February</v>
      </c>
      <c r="P289" s="7">
        <f t="shared" si="29"/>
        <v>2014</v>
      </c>
    </row>
    <row r="290" spans="1:16" ht="15.75" customHeight="1" x14ac:dyDescent="0.3">
      <c r="A290" s="7" t="s">
        <v>26</v>
      </c>
      <c r="B290" s="7" t="s">
        <v>28</v>
      </c>
      <c r="C290" s="8" t="s">
        <v>30</v>
      </c>
      <c r="D290" s="8" t="s">
        <v>34</v>
      </c>
      <c r="E290" s="7">
        <v>2755</v>
      </c>
      <c r="F290" s="8">
        <v>120</v>
      </c>
      <c r="G290" s="8">
        <v>125</v>
      </c>
      <c r="H290" s="8">
        <f t="shared" si="24"/>
        <v>674975</v>
      </c>
      <c r="I290" s="8">
        <v>20662.5</v>
      </c>
      <c r="J290" s="8">
        <f t="shared" si="25"/>
        <v>654312.5</v>
      </c>
      <c r="K290" s="8">
        <v>330600</v>
      </c>
      <c r="L290" s="8">
        <f t="shared" si="26"/>
        <v>323712.5</v>
      </c>
      <c r="M290" s="9">
        <v>41671</v>
      </c>
      <c r="N290" s="10">
        <f t="shared" si="27"/>
        <v>2</v>
      </c>
      <c r="O290" s="8" t="str">
        <f t="shared" si="28"/>
        <v>February</v>
      </c>
      <c r="P290" s="7">
        <f t="shared" si="29"/>
        <v>2014</v>
      </c>
    </row>
    <row r="291" spans="1:16" ht="15.75" customHeight="1" x14ac:dyDescent="0.3">
      <c r="A291" s="11" t="s">
        <v>21</v>
      </c>
      <c r="B291" s="11" t="s">
        <v>20</v>
      </c>
      <c r="C291" s="12" t="s">
        <v>30</v>
      </c>
      <c r="D291" s="12" t="s">
        <v>34</v>
      </c>
      <c r="E291" s="11">
        <v>1530</v>
      </c>
      <c r="F291" s="12">
        <v>120</v>
      </c>
      <c r="G291" s="12">
        <v>15</v>
      </c>
      <c r="H291" s="8">
        <f t="shared" si="24"/>
        <v>206550</v>
      </c>
      <c r="I291" s="12">
        <v>1377</v>
      </c>
      <c r="J291" s="8">
        <f t="shared" si="25"/>
        <v>205173</v>
      </c>
      <c r="K291" s="12">
        <v>15300</v>
      </c>
      <c r="L291" s="8">
        <f t="shared" si="26"/>
        <v>189873</v>
      </c>
      <c r="M291" s="13">
        <v>41760</v>
      </c>
      <c r="N291" s="10">
        <f t="shared" si="27"/>
        <v>5</v>
      </c>
      <c r="O291" s="8" t="str">
        <f t="shared" si="28"/>
        <v>May</v>
      </c>
      <c r="P291" s="7">
        <f t="shared" si="29"/>
        <v>2014</v>
      </c>
    </row>
    <row r="292" spans="1:16" ht="15.75" customHeight="1" x14ac:dyDescent="0.3">
      <c r="A292" s="7" t="s">
        <v>16</v>
      </c>
      <c r="B292" s="7" t="s">
        <v>22</v>
      </c>
      <c r="C292" s="8" t="s">
        <v>30</v>
      </c>
      <c r="D292" s="8" t="s">
        <v>34</v>
      </c>
      <c r="E292" s="7">
        <v>1496</v>
      </c>
      <c r="F292" s="8">
        <v>120</v>
      </c>
      <c r="G292" s="8">
        <v>350</v>
      </c>
      <c r="H292" s="8">
        <f t="shared" si="24"/>
        <v>703120</v>
      </c>
      <c r="I292" s="8">
        <v>31416</v>
      </c>
      <c r="J292" s="8">
        <f t="shared" si="25"/>
        <v>671704</v>
      </c>
      <c r="K292" s="8">
        <v>388960</v>
      </c>
      <c r="L292" s="8">
        <f t="shared" si="26"/>
        <v>282744</v>
      </c>
      <c r="M292" s="9">
        <v>41791</v>
      </c>
      <c r="N292" s="10">
        <f t="shared" si="27"/>
        <v>6</v>
      </c>
      <c r="O292" s="8" t="str">
        <f t="shared" si="28"/>
        <v>June</v>
      </c>
      <c r="P292" s="7">
        <f t="shared" si="29"/>
        <v>2014</v>
      </c>
    </row>
    <row r="293" spans="1:16" ht="15.75" customHeight="1" x14ac:dyDescent="0.3">
      <c r="A293" s="11" t="s">
        <v>16</v>
      </c>
      <c r="B293" s="11" t="s">
        <v>23</v>
      </c>
      <c r="C293" s="12" t="s">
        <v>30</v>
      </c>
      <c r="D293" s="12" t="s">
        <v>34</v>
      </c>
      <c r="E293" s="11">
        <v>1498</v>
      </c>
      <c r="F293" s="12">
        <v>120</v>
      </c>
      <c r="G293" s="12">
        <v>7</v>
      </c>
      <c r="H293" s="8">
        <f t="shared" si="24"/>
        <v>190246</v>
      </c>
      <c r="I293" s="12">
        <v>629.16</v>
      </c>
      <c r="J293" s="8">
        <f t="shared" si="25"/>
        <v>189616.84</v>
      </c>
      <c r="K293" s="12">
        <v>7490</v>
      </c>
      <c r="L293" s="8">
        <f t="shared" si="26"/>
        <v>182126.84</v>
      </c>
      <c r="M293" s="13">
        <v>41791</v>
      </c>
      <c r="N293" s="10">
        <f t="shared" si="27"/>
        <v>6</v>
      </c>
      <c r="O293" s="8" t="str">
        <f t="shared" si="28"/>
        <v>June</v>
      </c>
      <c r="P293" s="7">
        <f t="shared" si="29"/>
        <v>2014</v>
      </c>
    </row>
    <row r="294" spans="1:16" ht="15.75" customHeight="1" x14ac:dyDescent="0.3">
      <c r="A294" s="7" t="s">
        <v>27</v>
      </c>
      <c r="B294" s="7" t="s">
        <v>22</v>
      </c>
      <c r="C294" s="8" t="s">
        <v>30</v>
      </c>
      <c r="D294" s="8" t="s">
        <v>34</v>
      </c>
      <c r="E294" s="7">
        <v>1221</v>
      </c>
      <c r="F294" s="8">
        <v>120</v>
      </c>
      <c r="G294" s="8">
        <v>300</v>
      </c>
      <c r="H294" s="8">
        <f t="shared" si="24"/>
        <v>512820</v>
      </c>
      <c r="I294" s="8">
        <v>21978</v>
      </c>
      <c r="J294" s="8">
        <f t="shared" si="25"/>
        <v>490842</v>
      </c>
      <c r="K294" s="8">
        <v>305250</v>
      </c>
      <c r="L294" s="8">
        <f t="shared" si="26"/>
        <v>185592</v>
      </c>
      <c r="M294" s="9">
        <v>41548</v>
      </c>
      <c r="N294" s="10">
        <f t="shared" si="27"/>
        <v>10</v>
      </c>
      <c r="O294" s="8" t="str">
        <f t="shared" si="28"/>
        <v>October</v>
      </c>
      <c r="P294" s="7">
        <f t="shared" si="29"/>
        <v>2013</v>
      </c>
    </row>
    <row r="295" spans="1:16" ht="15.75" customHeight="1" x14ac:dyDescent="0.3">
      <c r="A295" s="11" t="s">
        <v>16</v>
      </c>
      <c r="B295" s="11" t="s">
        <v>22</v>
      </c>
      <c r="C295" s="12" t="s">
        <v>30</v>
      </c>
      <c r="D295" s="12" t="s">
        <v>34</v>
      </c>
      <c r="E295" s="11">
        <v>2076</v>
      </c>
      <c r="F295" s="12">
        <v>120</v>
      </c>
      <c r="G295" s="12">
        <v>350</v>
      </c>
      <c r="H295" s="8">
        <f t="shared" si="24"/>
        <v>975720</v>
      </c>
      <c r="I295" s="12">
        <v>43596</v>
      </c>
      <c r="J295" s="8">
        <f t="shared" si="25"/>
        <v>932124</v>
      </c>
      <c r="K295" s="12">
        <v>539760</v>
      </c>
      <c r="L295" s="8">
        <f t="shared" si="26"/>
        <v>392364</v>
      </c>
      <c r="M295" s="13">
        <v>41548</v>
      </c>
      <c r="N295" s="10">
        <f t="shared" si="27"/>
        <v>10</v>
      </c>
      <c r="O295" s="8" t="str">
        <f t="shared" si="28"/>
        <v>October</v>
      </c>
      <c r="P295" s="7">
        <f t="shared" si="29"/>
        <v>2013</v>
      </c>
    </row>
    <row r="296" spans="1:16" ht="15.75" customHeight="1" x14ac:dyDescent="0.3">
      <c r="A296" s="7" t="s">
        <v>21</v>
      </c>
      <c r="B296" s="7" t="s">
        <v>17</v>
      </c>
      <c r="C296" s="8" t="s">
        <v>31</v>
      </c>
      <c r="D296" s="8" t="s">
        <v>34</v>
      </c>
      <c r="E296" s="7">
        <v>2844</v>
      </c>
      <c r="F296" s="8">
        <v>250</v>
      </c>
      <c r="G296" s="8">
        <v>15</v>
      </c>
      <c r="H296" s="8">
        <f t="shared" si="24"/>
        <v>753660</v>
      </c>
      <c r="I296" s="8">
        <v>2559.6</v>
      </c>
      <c r="J296" s="8">
        <f t="shared" si="25"/>
        <v>751100.4</v>
      </c>
      <c r="K296" s="8">
        <v>28440</v>
      </c>
      <c r="L296" s="8">
        <f t="shared" si="26"/>
        <v>722660.4</v>
      </c>
      <c r="M296" s="9">
        <v>41791</v>
      </c>
      <c r="N296" s="10">
        <f t="shared" si="27"/>
        <v>6</v>
      </c>
      <c r="O296" s="8" t="str">
        <f t="shared" si="28"/>
        <v>June</v>
      </c>
      <c r="P296" s="7">
        <f t="shared" si="29"/>
        <v>2014</v>
      </c>
    </row>
    <row r="297" spans="1:16" ht="15.75" customHeight="1" x14ac:dyDescent="0.3">
      <c r="A297" s="11" t="s">
        <v>16</v>
      </c>
      <c r="B297" s="11" t="s">
        <v>23</v>
      </c>
      <c r="C297" s="12" t="s">
        <v>31</v>
      </c>
      <c r="D297" s="12" t="s">
        <v>34</v>
      </c>
      <c r="E297" s="11">
        <v>1498</v>
      </c>
      <c r="F297" s="12">
        <v>250</v>
      </c>
      <c r="G297" s="12">
        <v>7</v>
      </c>
      <c r="H297" s="8">
        <f t="shared" si="24"/>
        <v>384986</v>
      </c>
      <c r="I297" s="12">
        <v>629.16</v>
      </c>
      <c r="J297" s="8">
        <f t="shared" si="25"/>
        <v>384356.84</v>
      </c>
      <c r="K297" s="12">
        <v>7490</v>
      </c>
      <c r="L297" s="8">
        <f t="shared" si="26"/>
        <v>376866.84</v>
      </c>
      <c r="M297" s="13">
        <v>41791</v>
      </c>
      <c r="N297" s="10">
        <f t="shared" si="27"/>
        <v>6</v>
      </c>
      <c r="O297" s="8" t="str">
        <f t="shared" si="28"/>
        <v>June</v>
      </c>
      <c r="P297" s="7">
        <f t="shared" si="29"/>
        <v>2014</v>
      </c>
    </row>
    <row r="298" spans="1:16" ht="15.75" customHeight="1" x14ac:dyDescent="0.3">
      <c r="A298" s="7" t="s">
        <v>27</v>
      </c>
      <c r="B298" s="7" t="s">
        <v>22</v>
      </c>
      <c r="C298" s="8" t="s">
        <v>31</v>
      </c>
      <c r="D298" s="8" t="s">
        <v>34</v>
      </c>
      <c r="E298" s="7">
        <v>1221</v>
      </c>
      <c r="F298" s="8">
        <v>250</v>
      </c>
      <c r="G298" s="8">
        <v>300</v>
      </c>
      <c r="H298" s="8">
        <f t="shared" si="24"/>
        <v>671550</v>
      </c>
      <c r="I298" s="8">
        <v>21978</v>
      </c>
      <c r="J298" s="8">
        <f t="shared" si="25"/>
        <v>649572</v>
      </c>
      <c r="K298" s="8">
        <v>305250</v>
      </c>
      <c r="L298" s="8">
        <f t="shared" si="26"/>
        <v>344322</v>
      </c>
      <c r="M298" s="9">
        <v>41548</v>
      </c>
      <c r="N298" s="10">
        <f t="shared" si="27"/>
        <v>10</v>
      </c>
      <c r="O298" s="8" t="str">
        <f t="shared" si="28"/>
        <v>October</v>
      </c>
      <c r="P298" s="7">
        <f t="shared" si="29"/>
        <v>2013</v>
      </c>
    </row>
    <row r="299" spans="1:16" ht="15.75" customHeight="1" x14ac:dyDescent="0.3">
      <c r="A299" s="11" t="s">
        <v>16</v>
      </c>
      <c r="B299" s="11" t="s">
        <v>23</v>
      </c>
      <c r="C299" s="12" t="s">
        <v>31</v>
      </c>
      <c r="D299" s="12" t="s">
        <v>34</v>
      </c>
      <c r="E299" s="11">
        <v>1123</v>
      </c>
      <c r="F299" s="12">
        <v>250</v>
      </c>
      <c r="G299" s="12">
        <v>20</v>
      </c>
      <c r="H299" s="8">
        <f t="shared" si="24"/>
        <v>303210</v>
      </c>
      <c r="I299" s="12">
        <v>1347.6</v>
      </c>
      <c r="J299" s="8">
        <f t="shared" si="25"/>
        <v>301862.40000000002</v>
      </c>
      <c r="K299" s="12">
        <v>11230</v>
      </c>
      <c r="L299" s="8">
        <f t="shared" si="26"/>
        <v>290632.40000000002</v>
      </c>
      <c r="M299" s="13">
        <v>41579</v>
      </c>
      <c r="N299" s="10">
        <f t="shared" si="27"/>
        <v>11</v>
      </c>
      <c r="O299" s="8" t="str">
        <f t="shared" si="28"/>
        <v>November</v>
      </c>
      <c r="P299" s="7">
        <f t="shared" si="29"/>
        <v>2013</v>
      </c>
    </row>
    <row r="300" spans="1:16" ht="15.75" customHeight="1" x14ac:dyDescent="0.3">
      <c r="A300" s="7" t="s">
        <v>27</v>
      </c>
      <c r="B300" s="7" t="s">
        <v>17</v>
      </c>
      <c r="C300" s="8" t="s">
        <v>31</v>
      </c>
      <c r="D300" s="8" t="s">
        <v>34</v>
      </c>
      <c r="E300" s="7">
        <v>2436</v>
      </c>
      <c r="F300" s="8">
        <v>250</v>
      </c>
      <c r="G300" s="8">
        <v>300</v>
      </c>
      <c r="H300" s="8">
        <f t="shared" si="24"/>
        <v>1339800</v>
      </c>
      <c r="I300" s="8">
        <v>43848</v>
      </c>
      <c r="J300" s="8">
        <f t="shared" si="25"/>
        <v>1295952</v>
      </c>
      <c r="K300" s="8">
        <v>609000</v>
      </c>
      <c r="L300" s="8">
        <f t="shared" si="26"/>
        <v>686952</v>
      </c>
      <c r="M300" s="9">
        <v>41609</v>
      </c>
      <c r="N300" s="10">
        <f t="shared" si="27"/>
        <v>12</v>
      </c>
      <c r="O300" s="8" t="str">
        <f t="shared" si="28"/>
        <v>December</v>
      </c>
      <c r="P300" s="7">
        <f t="shared" si="29"/>
        <v>2013</v>
      </c>
    </row>
    <row r="301" spans="1:16" ht="15.75" customHeight="1" x14ac:dyDescent="0.3">
      <c r="A301" s="11" t="s">
        <v>26</v>
      </c>
      <c r="B301" s="11" t="s">
        <v>22</v>
      </c>
      <c r="C301" s="12" t="s">
        <v>32</v>
      </c>
      <c r="D301" s="12" t="s">
        <v>34</v>
      </c>
      <c r="E301" s="11">
        <v>1987.5</v>
      </c>
      <c r="F301" s="12">
        <v>260</v>
      </c>
      <c r="G301" s="12">
        <v>125</v>
      </c>
      <c r="H301" s="8">
        <f t="shared" si="24"/>
        <v>765187.5</v>
      </c>
      <c r="I301" s="12">
        <v>14906.25</v>
      </c>
      <c r="J301" s="8">
        <f t="shared" si="25"/>
        <v>750281.25</v>
      </c>
      <c r="K301" s="12">
        <v>238500</v>
      </c>
      <c r="L301" s="8">
        <f t="shared" si="26"/>
        <v>511781.25</v>
      </c>
      <c r="M301" s="13">
        <v>41640</v>
      </c>
      <c r="N301" s="10">
        <f t="shared" si="27"/>
        <v>1</v>
      </c>
      <c r="O301" s="8" t="str">
        <f t="shared" si="28"/>
        <v>January</v>
      </c>
      <c r="P301" s="7">
        <f t="shared" si="29"/>
        <v>2014</v>
      </c>
    </row>
    <row r="302" spans="1:16" ht="15.75" customHeight="1" x14ac:dyDescent="0.3">
      <c r="A302" s="7" t="s">
        <v>16</v>
      </c>
      <c r="B302" s="7" t="s">
        <v>23</v>
      </c>
      <c r="C302" s="8" t="s">
        <v>32</v>
      </c>
      <c r="D302" s="8" t="s">
        <v>34</v>
      </c>
      <c r="E302" s="7">
        <v>1679</v>
      </c>
      <c r="F302" s="8">
        <v>260</v>
      </c>
      <c r="G302" s="8">
        <v>350</v>
      </c>
      <c r="H302" s="8">
        <f t="shared" si="24"/>
        <v>1024190</v>
      </c>
      <c r="I302" s="8">
        <v>35259</v>
      </c>
      <c r="J302" s="8">
        <f t="shared" si="25"/>
        <v>988931</v>
      </c>
      <c r="K302" s="8">
        <v>436540</v>
      </c>
      <c r="L302" s="8">
        <f t="shared" si="26"/>
        <v>552391</v>
      </c>
      <c r="M302" s="9">
        <v>41883</v>
      </c>
      <c r="N302" s="10">
        <f t="shared" si="27"/>
        <v>9</v>
      </c>
      <c r="O302" s="8" t="str">
        <f t="shared" si="28"/>
        <v>September</v>
      </c>
      <c r="P302" s="7">
        <f t="shared" si="29"/>
        <v>2014</v>
      </c>
    </row>
    <row r="303" spans="1:16" ht="15.75" customHeight="1" x14ac:dyDescent="0.3">
      <c r="A303" s="11" t="s">
        <v>16</v>
      </c>
      <c r="B303" s="11" t="s">
        <v>28</v>
      </c>
      <c r="C303" s="12" t="s">
        <v>32</v>
      </c>
      <c r="D303" s="12" t="s">
        <v>34</v>
      </c>
      <c r="E303" s="11">
        <v>727</v>
      </c>
      <c r="F303" s="12">
        <v>260</v>
      </c>
      <c r="G303" s="12">
        <v>350</v>
      </c>
      <c r="H303" s="8">
        <f t="shared" si="24"/>
        <v>443470</v>
      </c>
      <c r="I303" s="12">
        <v>15267</v>
      </c>
      <c r="J303" s="8">
        <f t="shared" si="25"/>
        <v>428203</v>
      </c>
      <c r="K303" s="12">
        <v>189020</v>
      </c>
      <c r="L303" s="8">
        <f t="shared" si="26"/>
        <v>239183</v>
      </c>
      <c r="M303" s="13">
        <v>41548</v>
      </c>
      <c r="N303" s="10">
        <f t="shared" si="27"/>
        <v>10</v>
      </c>
      <c r="O303" s="8" t="str">
        <f t="shared" si="28"/>
        <v>October</v>
      </c>
      <c r="P303" s="7">
        <f t="shared" si="29"/>
        <v>2013</v>
      </c>
    </row>
    <row r="304" spans="1:16" ht="15.75" customHeight="1" x14ac:dyDescent="0.3">
      <c r="A304" s="7" t="s">
        <v>16</v>
      </c>
      <c r="B304" s="7" t="s">
        <v>22</v>
      </c>
      <c r="C304" s="8" t="s">
        <v>32</v>
      </c>
      <c r="D304" s="8" t="s">
        <v>34</v>
      </c>
      <c r="E304" s="7">
        <v>1403</v>
      </c>
      <c r="F304" s="8">
        <v>260</v>
      </c>
      <c r="G304" s="8">
        <v>7</v>
      </c>
      <c r="H304" s="8">
        <f t="shared" si="24"/>
        <v>374601</v>
      </c>
      <c r="I304" s="8">
        <v>589.26</v>
      </c>
      <c r="J304" s="8">
        <f t="shared" si="25"/>
        <v>374011.74</v>
      </c>
      <c r="K304" s="8">
        <v>7015</v>
      </c>
      <c r="L304" s="8">
        <f t="shared" si="26"/>
        <v>366996.74</v>
      </c>
      <c r="M304" s="9">
        <v>41548</v>
      </c>
      <c r="N304" s="10">
        <f t="shared" si="27"/>
        <v>10</v>
      </c>
      <c r="O304" s="8" t="str">
        <f t="shared" si="28"/>
        <v>October</v>
      </c>
      <c r="P304" s="7">
        <f t="shared" si="29"/>
        <v>2013</v>
      </c>
    </row>
    <row r="305" spans="1:16" ht="15.75" customHeight="1" x14ac:dyDescent="0.3">
      <c r="A305" s="11" t="s">
        <v>16</v>
      </c>
      <c r="B305" s="11" t="s">
        <v>22</v>
      </c>
      <c r="C305" s="12" t="s">
        <v>32</v>
      </c>
      <c r="D305" s="12" t="s">
        <v>34</v>
      </c>
      <c r="E305" s="11">
        <v>2076</v>
      </c>
      <c r="F305" s="12">
        <v>260</v>
      </c>
      <c r="G305" s="12">
        <v>350</v>
      </c>
      <c r="H305" s="8">
        <f t="shared" si="24"/>
        <v>1266360</v>
      </c>
      <c r="I305" s="12">
        <v>43596</v>
      </c>
      <c r="J305" s="8">
        <f t="shared" si="25"/>
        <v>1222764</v>
      </c>
      <c r="K305" s="12">
        <v>539760</v>
      </c>
      <c r="L305" s="8">
        <f t="shared" si="26"/>
        <v>683004</v>
      </c>
      <c r="M305" s="13">
        <v>41548</v>
      </c>
      <c r="N305" s="10">
        <f t="shared" si="27"/>
        <v>10</v>
      </c>
      <c r="O305" s="8" t="str">
        <f t="shared" si="28"/>
        <v>October</v>
      </c>
      <c r="P305" s="7">
        <f t="shared" si="29"/>
        <v>2013</v>
      </c>
    </row>
    <row r="306" spans="1:16" ht="15.75" customHeight="1" x14ac:dyDescent="0.3">
      <c r="A306" s="7" t="s">
        <v>16</v>
      </c>
      <c r="B306" s="7" t="s">
        <v>22</v>
      </c>
      <c r="C306" s="8" t="s">
        <v>24</v>
      </c>
      <c r="D306" s="8" t="s">
        <v>34</v>
      </c>
      <c r="E306" s="7">
        <v>1757</v>
      </c>
      <c r="F306" s="8">
        <v>5</v>
      </c>
      <c r="G306" s="8">
        <v>20</v>
      </c>
      <c r="H306" s="8">
        <f t="shared" si="24"/>
        <v>43925</v>
      </c>
      <c r="I306" s="8">
        <v>2108.4</v>
      </c>
      <c r="J306" s="8">
        <f t="shared" si="25"/>
        <v>41816.6</v>
      </c>
      <c r="K306" s="8">
        <v>17570</v>
      </c>
      <c r="L306" s="8">
        <f t="shared" si="26"/>
        <v>24246.6</v>
      </c>
      <c r="M306" s="9">
        <v>41548</v>
      </c>
      <c r="N306" s="10">
        <f t="shared" si="27"/>
        <v>10</v>
      </c>
      <c r="O306" s="8" t="str">
        <f t="shared" si="28"/>
        <v>October</v>
      </c>
      <c r="P306" s="7">
        <f t="shared" si="29"/>
        <v>2013</v>
      </c>
    </row>
    <row r="307" spans="1:16" ht="15.75" customHeight="1" x14ac:dyDescent="0.3">
      <c r="A307" s="11" t="s">
        <v>21</v>
      </c>
      <c r="B307" s="11" t="s">
        <v>28</v>
      </c>
      <c r="C307" s="12" t="s">
        <v>29</v>
      </c>
      <c r="D307" s="12" t="s">
        <v>34</v>
      </c>
      <c r="E307" s="11">
        <v>2198</v>
      </c>
      <c r="F307" s="12">
        <v>10</v>
      </c>
      <c r="G307" s="12">
        <v>15</v>
      </c>
      <c r="H307" s="8">
        <f t="shared" si="24"/>
        <v>54950</v>
      </c>
      <c r="I307" s="12">
        <v>1978.2</v>
      </c>
      <c r="J307" s="8">
        <f t="shared" si="25"/>
        <v>52971.8</v>
      </c>
      <c r="K307" s="12">
        <v>21980</v>
      </c>
      <c r="L307" s="8">
        <f t="shared" si="26"/>
        <v>30991.800000000003</v>
      </c>
      <c r="M307" s="13">
        <v>41852</v>
      </c>
      <c r="N307" s="10">
        <f t="shared" si="27"/>
        <v>8</v>
      </c>
      <c r="O307" s="8" t="str">
        <f t="shared" si="28"/>
        <v>August</v>
      </c>
      <c r="P307" s="7">
        <f t="shared" si="29"/>
        <v>2014</v>
      </c>
    </row>
    <row r="308" spans="1:16" ht="15.75" customHeight="1" x14ac:dyDescent="0.3">
      <c r="A308" s="7" t="s">
        <v>21</v>
      </c>
      <c r="B308" s="7" t="s">
        <v>20</v>
      </c>
      <c r="C308" s="8" t="s">
        <v>29</v>
      </c>
      <c r="D308" s="8" t="s">
        <v>34</v>
      </c>
      <c r="E308" s="7">
        <v>1743</v>
      </c>
      <c r="F308" s="8">
        <v>10</v>
      </c>
      <c r="G308" s="8">
        <v>15</v>
      </c>
      <c r="H308" s="8">
        <f t="shared" si="24"/>
        <v>43575</v>
      </c>
      <c r="I308" s="8">
        <v>1568.7</v>
      </c>
      <c r="J308" s="8">
        <f t="shared" si="25"/>
        <v>42006.3</v>
      </c>
      <c r="K308" s="8">
        <v>17430</v>
      </c>
      <c r="L308" s="8">
        <f t="shared" si="26"/>
        <v>24576.300000000003</v>
      </c>
      <c r="M308" s="9">
        <v>41852</v>
      </c>
      <c r="N308" s="10">
        <f t="shared" si="27"/>
        <v>8</v>
      </c>
      <c r="O308" s="8" t="str">
        <f t="shared" si="28"/>
        <v>August</v>
      </c>
      <c r="P308" s="7">
        <f t="shared" si="29"/>
        <v>2014</v>
      </c>
    </row>
    <row r="309" spans="1:16" ht="15.75" customHeight="1" x14ac:dyDescent="0.3">
      <c r="A309" s="11" t="s">
        <v>21</v>
      </c>
      <c r="B309" s="11" t="s">
        <v>28</v>
      </c>
      <c r="C309" s="12" t="s">
        <v>29</v>
      </c>
      <c r="D309" s="12" t="s">
        <v>34</v>
      </c>
      <c r="E309" s="11">
        <v>1153</v>
      </c>
      <c r="F309" s="12">
        <v>10</v>
      </c>
      <c r="G309" s="12">
        <v>15</v>
      </c>
      <c r="H309" s="8">
        <f t="shared" si="24"/>
        <v>28825</v>
      </c>
      <c r="I309" s="12">
        <v>1037.7</v>
      </c>
      <c r="J309" s="8">
        <f t="shared" si="25"/>
        <v>27787.3</v>
      </c>
      <c r="K309" s="12">
        <v>11530</v>
      </c>
      <c r="L309" s="8">
        <f t="shared" si="26"/>
        <v>16257.3</v>
      </c>
      <c r="M309" s="13">
        <v>41913</v>
      </c>
      <c r="N309" s="10">
        <f t="shared" si="27"/>
        <v>10</v>
      </c>
      <c r="O309" s="8" t="str">
        <f t="shared" si="28"/>
        <v>October</v>
      </c>
      <c r="P309" s="7">
        <f t="shared" si="29"/>
        <v>2014</v>
      </c>
    </row>
    <row r="310" spans="1:16" ht="15.75" customHeight="1" x14ac:dyDescent="0.3">
      <c r="A310" s="7" t="s">
        <v>16</v>
      </c>
      <c r="B310" s="7" t="s">
        <v>22</v>
      </c>
      <c r="C310" s="8" t="s">
        <v>29</v>
      </c>
      <c r="D310" s="8" t="s">
        <v>34</v>
      </c>
      <c r="E310" s="7">
        <v>1757</v>
      </c>
      <c r="F310" s="8">
        <v>10</v>
      </c>
      <c r="G310" s="8">
        <v>20</v>
      </c>
      <c r="H310" s="8">
        <f t="shared" si="24"/>
        <v>52710</v>
      </c>
      <c r="I310" s="8">
        <v>2108.4</v>
      </c>
      <c r="J310" s="8">
        <f t="shared" si="25"/>
        <v>50601.599999999999</v>
      </c>
      <c r="K310" s="8">
        <v>17570</v>
      </c>
      <c r="L310" s="8">
        <f t="shared" si="26"/>
        <v>33031.599999999999</v>
      </c>
      <c r="M310" s="9">
        <v>41548</v>
      </c>
      <c r="N310" s="10">
        <f t="shared" si="27"/>
        <v>10</v>
      </c>
      <c r="O310" s="8" t="str">
        <f t="shared" si="28"/>
        <v>October</v>
      </c>
      <c r="P310" s="7">
        <f t="shared" si="29"/>
        <v>2013</v>
      </c>
    </row>
    <row r="311" spans="1:16" ht="15.75" customHeight="1" x14ac:dyDescent="0.3">
      <c r="A311" s="11" t="s">
        <v>16</v>
      </c>
      <c r="B311" s="11" t="s">
        <v>20</v>
      </c>
      <c r="C311" s="12" t="s">
        <v>30</v>
      </c>
      <c r="D311" s="12" t="s">
        <v>34</v>
      </c>
      <c r="E311" s="11">
        <v>1001</v>
      </c>
      <c r="F311" s="12">
        <v>120</v>
      </c>
      <c r="G311" s="12">
        <v>20</v>
      </c>
      <c r="H311" s="8">
        <f t="shared" si="24"/>
        <v>140140</v>
      </c>
      <c r="I311" s="12">
        <v>1201.2</v>
      </c>
      <c r="J311" s="8">
        <f t="shared" si="25"/>
        <v>138938.79999999999</v>
      </c>
      <c r="K311" s="12">
        <v>10010</v>
      </c>
      <c r="L311" s="8">
        <f t="shared" si="26"/>
        <v>128928.79999999999</v>
      </c>
      <c r="M311" s="13">
        <v>41852</v>
      </c>
      <c r="N311" s="10">
        <f t="shared" si="27"/>
        <v>8</v>
      </c>
      <c r="O311" s="8" t="str">
        <f t="shared" si="28"/>
        <v>August</v>
      </c>
      <c r="P311" s="7">
        <f t="shared" si="29"/>
        <v>2014</v>
      </c>
    </row>
    <row r="312" spans="1:16" ht="15.75" customHeight="1" x14ac:dyDescent="0.3">
      <c r="A312" s="7" t="s">
        <v>16</v>
      </c>
      <c r="B312" s="7" t="s">
        <v>23</v>
      </c>
      <c r="C312" s="8" t="s">
        <v>30</v>
      </c>
      <c r="D312" s="8" t="s">
        <v>34</v>
      </c>
      <c r="E312" s="7">
        <v>1333</v>
      </c>
      <c r="F312" s="8">
        <v>120</v>
      </c>
      <c r="G312" s="8">
        <v>7</v>
      </c>
      <c r="H312" s="8">
        <f t="shared" si="24"/>
        <v>169291</v>
      </c>
      <c r="I312" s="8">
        <v>559.86</v>
      </c>
      <c r="J312" s="8">
        <f t="shared" si="25"/>
        <v>168731.14</v>
      </c>
      <c r="K312" s="8">
        <v>6665</v>
      </c>
      <c r="L312" s="8">
        <f t="shared" si="26"/>
        <v>162066.14000000001</v>
      </c>
      <c r="M312" s="9">
        <v>41944</v>
      </c>
      <c r="N312" s="10">
        <f t="shared" si="27"/>
        <v>11</v>
      </c>
      <c r="O312" s="8" t="str">
        <f t="shared" si="28"/>
        <v>November</v>
      </c>
      <c r="P312" s="7">
        <f t="shared" si="29"/>
        <v>2014</v>
      </c>
    </row>
    <row r="313" spans="1:16" ht="15.75" customHeight="1" x14ac:dyDescent="0.3">
      <c r="A313" s="11" t="s">
        <v>21</v>
      </c>
      <c r="B313" s="11" t="s">
        <v>28</v>
      </c>
      <c r="C313" s="12" t="s">
        <v>31</v>
      </c>
      <c r="D313" s="12" t="s">
        <v>34</v>
      </c>
      <c r="E313" s="11">
        <v>1153</v>
      </c>
      <c r="F313" s="12">
        <v>250</v>
      </c>
      <c r="G313" s="12">
        <v>15</v>
      </c>
      <c r="H313" s="8">
        <f t="shared" si="24"/>
        <v>305545</v>
      </c>
      <c r="I313" s="12">
        <v>1037.7</v>
      </c>
      <c r="J313" s="8">
        <f t="shared" si="25"/>
        <v>304507.3</v>
      </c>
      <c r="K313" s="12">
        <v>11530</v>
      </c>
      <c r="L313" s="8">
        <f t="shared" si="26"/>
        <v>292977.3</v>
      </c>
      <c r="M313" s="13">
        <v>41913</v>
      </c>
      <c r="N313" s="10">
        <f t="shared" si="27"/>
        <v>10</v>
      </c>
      <c r="O313" s="8" t="str">
        <f t="shared" si="28"/>
        <v>October</v>
      </c>
      <c r="P313" s="7">
        <f t="shared" si="29"/>
        <v>2014</v>
      </c>
    </row>
    <row r="314" spans="1:16" ht="15.75" customHeight="1" x14ac:dyDescent="0.3">
      <c r="A314" s="7" t="s">
        <v>25</v>
      </c>
      <c r="B314" s="7" t="s">
        <v>23</v>
      </c>
      <c r="C314" s="8" t="s">
        <v>18</v>
      </c>
      <c r="D314" s="8" t="s">
        <v>34</v>
      </c>
      <c r="E314" s="7">
        <v>727</v>
      </c>
      <c r="F314" s="8">
        <v>3</v>
      </c>
      <c r="G314" s="8">
        <v>12</v>
      </c>
      <c r="H314" s="8">
        <f t="shared" si="24"/>
        <v>10905</v>
      </c>
      <c r="I314" s="8">
        <v>610.67999999999995</v>
      </c>
      <c r="J314" s="8">
        <f t="shared" si="25"/>
        <v>10294.32</v>
      </c>
      <c r="K314" s="8">
        <v>2181</v>
      </c>
      <c r="L314" s="8">
        <f t="shared" si="26"/>
        <v>8113.32</v>
      </c>
      <c r="M314" s="9">
        <v>41671</v>
      </c>
      <c r="N314" s="10">
        <f t="shared" si="27"/>
        <v>2</v>
      </c>
      <c r="O314" s="8" t="str">
        <f t="shared" si="28"/>
        <v>February</v>
      </c>
      <c r="P314" s="7">
        <f t="shared" si="29"/>
        <v>2014</v>
      </c>
    </row>
    <row r="315" spans="1:16" ht="15.75" customHeight="1" x14ac:dyDescent="0.3">
      <c r="A315" s="11" t="s">
        <v>25</v>
      </c>
      <c r="B315" s="11" t="s">
        <v>17</v>
      </c>
      <c r="C315" s="12" t="s">
        <v>18</v>
      </c>
      <c r="D315" s="12" t="s">
        <v>34</v>
      </c>
      <c r="E315" s="11">
        <v>1884</v>
      </c>
      <c r="F315" s="12">
        <v>3</v>
      </c>
      <c r="G315" s="12">
        <v>12</v>
      </c>
      <c r="H315" s="8">
        <f t="shared" si="24"/>
        <v>28260</v>
      </c>
      <c r="I315" s="12">
        <v>1582.56</v>
      </c>
      <c r="J315" s="8">
        <f t="shared" si="25"/>
        <v>26677.439999999999</v>
      </c>
      <c r="K315" s="12">
        <v>5652</v>
      </c>
      <c r="L315" s="8">
        <f t="shared" si="26"/>
        <v>21025.439999999999</v>
      </c>
      <c r="M315" s="13">
        <v>41852</v>
      </c>
      <c r="N315" s="10">
        <f t="shared" si="27"/>
        <v>8</v>
      </c>
      <c r="O315" s="8" t="str">
        <f t="shared" si="28"/>
        <v>August</v>
      </c>
      <c r="P315" s="7">
        <f t="shared" si="29"/>
        <v>2014</v>
      </c>
    </row>
    <row r="316" spans="1:16" ht="15.75" customHeight="1" x14ac:dyDescent="0.3">
      <c r="A316" s="7" t="s">
        <v>16</v>
      </c>
      <c r="B316" s="7" t="s">
        <v>23</v>
      </c>
      <c r="C316" s="8" t="s">
        <v>18</v>
      </c>
      <c r="D316" s="8" t="s">
        <v>34</v>
      </c>
      <c r="E316" s="7">
        <v>1834</v>
      </c>
      <c r="F316" s="8">
        <v>3</v>
      </c>
      <c r="G316" s="8">
        <v>20</v>
      </c>
      <c r="H316" s="8">
        <f t="shared" si="24"/>
        <v>42182</v>
      </c>
      <c r="I316" s="8">
        <v>2567.6</v>
      </c>
      <c r="J316" s="8">
        <f t="shared" si="25"/>
        <v>39614.400000000001</v>
      </c>
      <c r="K316" s="8">
        <v>18340</v>
      </c>
      <c r="L316" s="8">
        <f t="shared" si="26"/>
        <v>21274.400000000001</v>
      </c>
      <c r="M316" s="9">
        <v>41518</v>
      </c>
      <c r="N316" s="10">
        <f t="shared" si="27"/>
        <v>9</v>
      </c>
      <c r="O316" s="8" t="str">
        <f t="shared" si="28"/>
        <v>September</v>
      </c>
      <c r="P316" s="7">
        <f t="shared" si="29"/>
        <v>2013</v>
      </c>
    </row>
    <row r="317" spans="1:16" ht="15.75" customHeight="1" x14ac:dyDescent="0.3">
      <c r="A317" s="11" t="s">
        <v>25</v>
      </c>
      <c r="B317" s="11" t="s">
        <v>23</v>
      </c>
      <c r="C317" s="12" t="s">
        <v>24</v>
      </c>
      <c r="D317" s="12" t="s">
        <v>34</v>
      </c>
      <c r="E317" s="11">
        <v>2340</v>
      </c>
      <c r="F317" s="12">
        <v>5</v>
      </c>
      <c r="G317" s="12">
        <v>12</v>
      </c>
      <c r="H317" s="8">
        <f t="shared" si="24"/>
        <v>39780</v>
      </c>
      <c r="I317" s="12">
        <v>1965.6</v>
      </c>
      <c r="J317" s="8">
        <f t="shared" si="25"/>
        <v>37814.400000000001</v>
      </c>
      <c r="K317" s="12">
        <v>7020</v>
      </c>
      <c r="L317" s="8">
        <f t="shared" si="26"/>
        <v>30794.400000000001</v>
      </c>
      <c r="M317" s="13">
        <v>41640</v>
      </c>
      <c r="N317" s="10">
        <f t="shared" si="27"/>
        <v>1</v>
      </c>
      <c r="O317" s="8" t="str">
        <f t="shared" si="28"/>
        <v>January</v>
      </c>
      <c r="P317" s="7">
        <f t="shared" si="29"/>
        <v>2014</v>
      </c>
    </row>
    <row r="318" spans="1:16" ht="15.75" customHeight="1" x14ac:dyDescent="0.3">
      <c r="A318" s="7" t="s">
        <v>25</v>
      </c>
      <c r="B318" s="7" t="s">
        <v>22</v>
      </c>
      <c r="C318" s="8" t="s">
        <v>24</v>
      </c>
      <c r="D318" s="8" t="s">
        <v>34</v>
      </c>
      <c r="E318" s="7">
        <v>2342</v>
      </c>
      <c r="F318" s="8">
        <v>5</v>
      </c>
      <c r="G318" s="8">
        <v>12</v>
      </c>
      <c r="H318" s="8">
        <f t="shared" si="24"/>
        <v>39814</v>
      </c>
      <c r="I318" s="8">
        <v>1967.28</v>
      </c>
      <c r="J318" s="8">
        <f t="shared" si="25"/>
        <v>37846.720000000001</v>
      </c>
      <c r="K318" s="8">
        <v>7026</v>
      </c>
      <c r="L318" s="8">
        <f t="shared" si="26"/>
        <v>30820.720000000001</v>
      </c>
      <c r="M318" s="9">
        <v>41944</v>
      </c>
      <c r="N318" s="10">
        <f t="shared" si="27"/>
        <v>11</v>
      </c>
      <c r="O318" s="8" t="str">
        <f t="shared" si="28"/>
        <v>November</v>
      </c>
      <c r="P318" s="7">
        <f t="shared" si="29"/>
        <v>2014</v>
      </c>
    </row>
    <row r="319" spans="1:16" ht="15.75" customHeight="1" x14ac:dyDescent="0.3">
      <c r="A319" s="11" t="s">
        <v>16</v>
      </c>
      <c r="B319" s="11" t="s">
        <v>22</v>
      </c>
      <c r="C319" s="12" t="s">
        <v>29</v>
      </c>
      <c r="D319" s="12" t="s">
        <v>34</v>
      </c>
      <c r="E319" s="11">
        <v>1031</v>
      </c>
      <c r="F319" s="12">
        <v>10</v>
      </c>
      <c r="G319" s="12">
        <v>7</v>
      </c>
      <c r="H319" s="8">
        <f t="shared" si="24"/>
        <v>17527</v>
      </c>
      <c r="I319" s="12">
        <v>505.19</v>
      </c>
      <c r="J319" s="8">
        <f t="shared" si="25"/>
        <v>17021.810000000001</v>
      </c>
      <c r="K319" s="12">
        <v>5155</v>
      </c>
      <c r="L319" s="8">
        <f t="shared" si="26"/>
        <v>11866.810000000001</v>
      </c>
      <c r="M319" s="13">
        <v>41518</v>
      </c>
      <c r="N319" s="10">
        <f t="shared" si="27"/>
        <v>9</v>
      </c>
      <c r="O319" s="8" t="str">
        <f t="shared" si="28"/>
        <v>September</v>
      </c>
      <c r="P319" s="7">
        <f t="shared" si="29"/>
        <v>2013</v>
      </c>
    </row>
    <row r="320" spans="1:16" ht="15.75" customHeight="1" x14ac:dyDescent="0.3">
      <c r="A320" s="7" t="s">
        <v>21</v>
      </c>
      <c r="B320" s="7" t="s">
        <v>17</v>
      </c>
      <c r="C320" s="8" t="s">
        <v>30</v>
      </c>
      <c r="D320" s="8" t="s">
        <v>34</v>
      </c>
      <c r="E320" s="7">
        <v>1262</v>
      </c>
      <c r="F320" s="8">
        <v>120</v>
      </c>
      <c r="G320" s="8">
        <v>15</v>
      </c>
      <c r="H320" s="8">
        <f t="shared" si="24"/>
        <v>170370</v>
      </c>
      <c r="I320" s="8">
        <v>1325.1</v>
      </c>
      <c r="J320" s="8">
        <f t="shared" si="25"/>
        <v>169044.9</v>
      </c>
      <c r="K320" s="8">
        <v>12620</v>
      </c>
      <c r="L320" s="8">
        <f t="shared" si="26"/>
        <v>156424.9</v>
      </c>
      <c r="M320" s="9">
        <v>41760</v>
      </c>
      <c r="N320" s="10">
        <f t="shared" si="27"/>
        <v>5</v>
      </c>
      <c r="O320" s="8" t="str">
        <f t="shared" si="28"/>
        <v>May</v>
      </c>
      <c r="P320" s="7">
        <f t="shared" si="29"/>
        <v>2014</v>
      </c>
    </row>
    <row r="321" spans="1:16" ht="15.75" customHeight="1" x14ac:dyDescent="0.3">
      <c r="A321" s="11" t="s">
        <v>16</v>
      </c>
      <c r="B321" s="11" t="s">
        <v>17</v>
      </c>
      <c r="C321" s="12" t="s">
        <v>30</v>
      </c>
      <c r="D321" s="12" t="s">
        <v>34</v>
      </c>
      <c r="E321" s="11">
        <v>1135</v>
      </c>
      <c r="F321" s="12">
        <v>120</v>
      </c>
      <c r="G321" s="12">
        <v>7</v>
      </c>
      <c r="H321" s="8">
        <f t="shared" si="24"/>
        <v>144145</v>
      </c>
      <c r="I321" s="12">
        <v>556.15</v>
      </c>
      <c r="J321" s="8">
        <f t="shared" si="25"/>
        <v>143588.85</v>
      </c>
      <c r="K321" s="12">
        <v>5675</v>
      </c>
      <c r="L321" s="8">
        <f t="shared" si="26"/>
        <v>137913.85</v>
      </c>
      <c r="M321" s="13">
        <v>41791</v>
      </c>
      <c r="N321" s="10">
        <f t="shared" si="27"/>
        <v>6</v>
      </c>
      <c r="O321" s="8" t="str">
        <f t="shared" si="28"/>
        <v>June</v>
      </c>
      <c r="P321" s="7">
        <f t="shared" si="29"/>
        <v>2014</v>
      </c>
    </row>
    <row r="322" spans="1:16" ht="15.75" customHeight="1" x14ac:dyDescent="0.3">
      <c r="A322" s="7" t="s">
        <v>16</v>
      </c>
      <c r="B322" s="7" t="s">
        <v>28</v>
      </c>
      <c r="C322" s="8" t="s">
        <v>30</v>
      </c>
      <c r="D322" s="8" t="s">
        <v>34</v>
      </c>
      <c r="E322" s="7">
        <v>547</v>
      </c>
      <c r="F322" s="8">
        <v>120</v>
      </c>
      <c r="G322" s="8">
        <v>7</v>
      </c>
      <c r="H322" s="8">
        <f t="shared" si="24"/>
        <v>69469</v>
      </c>
      <c r="I322" s="8">
        <v>268.02999999999997</v>
      </c>
      <c r="J322" s="8">
        <f t="shared" si="25"/>
        <v>69200.97</v>
      </c>
      <c r="K322" s="8">
        <v>2735</v>
      </c>
      <c r="L322" s="8">
        <f t="shared" si="26"/>
        <v>66465.97</v>
      </c>
      <c r="M322" s="9">
        <v>41944</v>
      </c>
      <c r="N322" s="10">
        <f t="shared" si="27"/>
        <v>11</v>
      </c>
      <c r="O322" s="8" t="str">
        <f t="shared" si="28"/>
        <v>November</v>
      </c>
      <c r="P322" s="7">
        <f t="shared" si="29"/>
        <v>2014</v>
      </c>
    </row>
    <row r="323" spans="1:16" ht="15.75" customHeight="1" x14ac:dyDescent="0.3">
      <c r="A323" s="11" t="s">
        <v>16</v>
      </c>
      <c r="B323" s="11" t="s">
        <v>17</v>
      </c>
      <c r="C323" s="12" t="s">
        <v>30</v>
      </c>
      <c r="D323" s="12" t="s">
        <v>34</v>
      </c>
      <c r="E323" s="11">
        <v>1582</v>
      </c>
      <c r="F323" s="12">
        <v>120</v>
      </c>
      <c r="G323" s="12">
        <v>7</v>
      </c>
      <c r="H323" s="8">
        <f t="shared" ref="H323:H386" si="30">E323*(F323+G323)</f>
        <v>200914</v>
      </c>
      <c r="I323" s="12">
        <v>775.18</v>
      </c>
      <c r="J323" s="8">
        <f t="shared" ref="J323:J386" si="31">H323-I323</f>
        <v>200138.82</v>
      </c>
      <c r="K323" s="12">
        <v>7910</v>
      </c>
      <c r="L323" s="8">
        <f t="shared" ref="L323:L386" si="32">J323-K323</f>
        <v>192228.82</v>
      </c>
      <c r="M323" s="13">
        <v>41974</v>
      </c>
      <c r="N323" s="10">
        <f t="shared" ref="N323:N386" si="33">MONTH(M323)</f>
        <v>12</v>
      </c>
      <c r="O323" s="8" t="str">
        <f t="shared" ref="O323:O386" si="34">TEXT(M323,"MMMM")</f>
        <v>December</v>
      </c>
      <c r="P323" s="7">
        <f t="shared" ref="P323:P386" si="35">YEAR(M323)</f>
        <v>2014</v>
      </c>
    </row>
    <row r="324" spans="1:16" ht="15.75" customHeight="1" x14ac:dyDescent="0.3">
      <c r="A324" s="7" t="s">
        <v>25</v>
      </c>
      <c r="B324" s="7" t="s">
        <v>22</v>
      </c>
      <c r="C324" s="8" t="s">
        <v>31</v>
      </c>
      <c r="D324" s="8" t="s">
        <v>34</v>
      </c>
      <c r="E324" s="7">
        <v>1738.5</v>
      </c>
      <c r="F324" s="8">
        <v>250</v>
      </c>
      <c r="G324" s="8">
        <v>12</v>
      </c>
      <c r="H324" s="8">
        <f t="shared" si="30"/>
        <v>455487</v>
      </c>
      <c r="I324" s="8">
        <v>1460.34</v>
      </c>
      <c r="J324" s="8">
        <f t="shared" si="31"/>
        <v>454026.66</v>
      </c>
      <c r="K324" s="8">
        <v>5215.5</v>
      </c>
      <c r="L324" s="8">
        <f t="shared" si="32"/>
        <v>448811.16</v>
      </c>
      <c r="M324" s="9">
        <v>41730</v>
      </c>
      <c r="N324" s="10">
        <f t="shared" si="33"/>
        <v>4</v>
      </c>
      <c r="O324" s="8" t="str">
        <f t="shared" si="34"/>
        <v>April</v>
      </c>
      <c r="P324" s="7">
        <f t="shared" si="35"/>
        <v>2014</v>
      </c>
    </row>
    <row r="325" spans="1:16" ht="15.75" customHeight="1" x14ac:dyDescent="0.3">
      <c r="A325" s="11" t="s">
        <v>25</v>
      </c>
      <c r="B325" s="11" t="s">
        <v>20</v>
      </c>
      <c r="C325" s="12" t="s">
        <v>31</v>
      </c>
      <c r="D325" s="12" t="s">
        <v>34</v>
      </c>
      <c r="E325" s="11">
        <v>2215</v>
      </c>
      <c r="F325" s="12">
        <v>250</v>
      </c>
      <c r="G325" s="12">
        <v>12</v>
      </c>
      <c r="H325" s="8">
        <f t="shared" si="30"/>
        <v>580330</v>
      </c>
      <c r="I325" s="12">
        <v>1860.6</v>
      </c>
      <c r="J325" s="8">
        <f t="shared" si="31"/>
        <v>578469.4</v>
      </c>
      <c r="K325" s="12">
        <v>6645</v>
      </c>
      <c r="L325" s="8">
        <f t="shared" si="32"/>
        <v>571824.4</v>
      </c>
      <c r="M325" s="13">
        <v>41518</v>
      </c>
      <c r="N325" s="10">
        <f t="shared" si="33"/>
        <v>9</v>
      </c>
      <c r="O325" s="8" t="str">
        <f t="shared" si="34"/>
        <v>September</v>
      </c>
      <c r="P325" s="7">
        <f t="shared" si="35"/>
        <v>2013</v>
      </c>
    </row>
    <row r="326" spans="1:16" ht="15.75" customHeight="1" x14ac:dyDescent="0.3">
      <c r="A326" s="7" t="s">
        <v>16</v>
      </c>
      <c r="B326" s="7" t="s">
        <v>17</v>
      </c>
      <c r="C326" s="8" t="s">
        <v>31</v>
      </c>
      <c r="D326" s="8" t="s">
        <v>34</v>
      </c>
      <c r="E326" s="7">
        <v>1582</v>
      </c>
      <c r="F326" s="8">
        <v>250</v>
      </c>
      <c r="G326" s="8">
        <v>7</v>
      </c>
      <c r="H326" s="8">
        <f t="shared" si="30"/>
        <v>406574</v>
      </c>
      <c r="I326" s="8">
        <v>775.18</v>
      </c>
      <c r="J326" s="8">
        <f t="shared" si="31"/>
        <v>405798.82</v>
      </c>
      <c r="K326" s="8">
        <v>7910</v>
      </c>
      <c r="L326" s="8">
        <f t="shared" si="32"/>
        <v>397888.82</v>
      </c>
      <c r="M326" s="9">
        <v>41974</v>
      </c>
      <c r="N326" s="10">
        <f t="shared" si="33"/>
        <v>12</v>
      </c>
      <c r="O326" s="8" t="str">
        <f t="shared" si="34"/>
        <v>December</v>
      </c>
      <c r="P326" s="7">
        <f t="shared" si="35"/>
        <v>2014</v>
      </c>
    </row>
    <row r="327" spans="1:16" ht="15.75" customHeight="1" x14ac:dyDescent="0.3">
      <c r="A327" s="11" t="s">
        <v>16</v>
      </c>
      <c r="B327" s="11" t="s">
        <v>17</v>
      </c>
      <c r="C327" s="12" t="s">
        <v>32</v>
      </c>
      <c r="D327" s="12" t="s">
        <v>34</v>
      </c>
      <c r="E327" s="11">
        <v>1135</v>
      </c>
      <c r="F327" s="12">
        <v>260</v>
      </c>
      <c r="G327" s="12">
        <v>7</v>
      </c>
      <c r="H327" s="8">
        <f t="shared" si="30"/>
        <v>303045</v>
      </c>
      <c r="I327" s="12">
        <v>556.15</v>
      </c>
      <c r="J327" s="8">
        <f t="shared" si="31"/>
        <v>302488.84999999998</v>
      </c>
      <c r="K327" s="12">
        <v>5675</v>
      </c>
      <c r="L327" s="8">
        <f t="shared" si="32"/>
        <v>296813.84999999998</v>
      </c>
      <c r="M327" s="13">
        <v>41791</v>
      </c>
      <c r="N327" s="10">
        <f t="shared" si="33"/>
        <v>6</v>
      </c>
      <c r="O327" s="8" t="str">
        <f t="shared" si="34"/>
        <v>June</v>
      </c>
      <c r="P327" s="7">
        <f t="shared" si="35"/>
        <v>2014</v>
      </c>
    </row>
    <row r="328" spans="1:16" ht="15.75" customHeight="1" x14ac:dyDescent="0.3">
      <c r="A328" s="7" t="s">
        <v>16</v>
      </c>
      <c r="B328" s="7" t="s">
        <v>28</v>
      </c>
      <c r="C328" s="8" t="s">
        <v>18</v>
      </c>
      <c r="D328" s="8" t="s">
        <v>34</v>
      </c>
      <c r="E328" s="7">
        <v>1761</v>
      </c>
      <c r="F328" s="8">
        <v>3</v>
      </c>
      <c r="G328" s="8">
        <v>350</v>
      </c>
      <c r="H328" s="8">
        <f t="shared" si="30"/>
        <v>621633</v>
      </c>
      <c r="I328" s="8">
        <v>43144.5</v>
      </c>
      <c r="J328" s="8">
        <f t="shared" si="31"/>
        <v>578488.5</v>
      </c>
      <c r="K328" s="8">
        <v>457860</v>
      </c>
      <c r="L328" s="8">
        <f t="shared" si="32"/>
        <v>120628.5</v>
      </c>
      <c r="M328" s="9">
        <v>41699</v>
      </c>
      <c r="N328" s="10">
        <f t="shared" si="33"/>
        <v>3</v>
      </c>
      <c r="O328" s="8" t="str">
        <f t="shared" si="34"/>
        <v>March</v>
      </c>
      <c r="P328" s="7">
        <f t="shared" si="35"/>
        <v>2014</v>
      </c>
    </row>
    <row r="329" spans="1:16" ht="15.75" customHeight="1" x14ac:dyDescent="0.3">
      <c r="A329" s="11" t="s">
        <v>27</v>
      </c>
      <c r="B329" s="11" t="s">
        <v>22</v>
      </c>
      <c r="C329" s="12" t="s">
        <v>18</v>
      </c>
      <c r="D329" s="12" t="s">
        <v>34</v>
      </c>
      <c r="E329" s="11">
        <v>448</v>
      </c>
      <c r="F329" s="12">
        <v>3</v>
      </c>
      <c r="G329" s="12">
        <v>300</v>
      </c>
      <c r="H329" s="8">
        <f t="shared" si="30"/>
        <v>135744</v>
      </c>
      <c r="I329" s="12">
        <v>9408</v>
      </c>
      <c r="J329" s="8">
        <f t="shared" si="31"/>
        <v>126336</v>
      </c>
      <c r="K329" s="12">
        <v>112000</v>
      </c>
      <c r="L329" s="8">
        <f t="shared" si="32"/>
        <v>14336</v>
      </c>
      <c r="M329" s="13">
        <v>41791</v>
      </c>
      <c r="N329" s="10">
        <f t="shared" si="33"/>
        <v>6</v>
      </c>
      <c r="O329" s="8" t="str">
        <f t="shared" si="34"/>
        <v>June</v>
      </c>
      <c r="P329" s="7">
        <f t="shared" si="35"/>
        <v>2014</v>
      </c>
    </row>
    <row r="330" spans="1:16" ht="15.75" customHeight="1" x14ac:dyDescent="0.3">
      <c r="A330" s="7" t="s">
        <v>27</v>
      </c>
      <c r="B330" s="7" t="s">
        <v>22</v>
      </c>
      <c r="C330" s="8" t="s">
        <v>18</v>
      </c>
      <c r="D330" s="8" t="s">
        <v>34</v>
      </c>
      <c r="E330" s="7">
        <v>2181</v>
      </c>
      <c r="F330" s="8">
        <v>3</v>
      </c>
      <c r="G330" s="8">
        <v>300</v>
      </c>
      <c r="H330" s="8">
        <f t="shared" si="30"/>
        <v>660843</v>
      </c>
      <c r="I330" s="8">
        <v>45801</v>
      </c>
      <c r="J330" s="8">
        <f t="shared" si="31"/>
        <v>615042</v>
      </c>
      <c r="K330" s="8">
        <v>545250</v>
      </c>
      <c r="L330" s="8">
        <f t="shared" si="32"/>
        <v>69792</v>
      </c>
      <c r="M330" s="9">
        <v>41913</v>
      </c>
      <c r="N330" s="10">
        <f t="shared" si="33"/>
        <v>10</v>
      </c>
      <c r="O330" s="8" t="str">
        <f t="shared" si="34"/>
        <v>October</v>
      </c>
      <c r="P330" s="7">
        <f t="shared" si="35"/>
        <v>2014</v>
      </c>
    </row>
    <row r="331" spans="1:16" ht="15.75" customHeight="1" x14ac:dyDescent="0.3">
      <c r="A331" s="11" t="s">
        <v>16</v>
      </c>
      <c r="B331" s="11" t="s">
        <v>22</v>
      </c>
      <c r="C331" s="12" t="s">
        <v>24</v>
      </c>
      <c r="D331" s="12" t="s">
        <v>34</v>
      </c>
      <c r="E331" s="11">
        <v>1976</v>
      </c>
      <c r="F331" s="12">
        <v>5</v>
      </c>
      <c r="G331" s="12">
        <v>20</v>
      </c>
      <c r="H331" s="8">
        <f t="shared" si="30"/>
        <v>49400</v>
      </c>
      <c r="I331" s="12">
        <v>2766.4</v>
      </c>
      <c r="J331" s="8">
        <f t="shared" si="31"/>
        <v>46633.599999999999</v>
      </c>
      <c r="K331" s="12">
        <v>19760</v>
      </c>
      <c r="L331" s="8">
        <f t="shared" si="32"/>
        <v>26873.599999999999</v>
      </c>
      <c r="M331" s="13">
        <v>41913</v>
      </c>
      <c r="N331" s="10">
        <f t="shared" si="33"/>
        <v>10</v>
      </c>
      <c r="O331" s="8" t="str">
        <f t="shared" si="34"/>
        <v>October</v>
      </c>
      <c r="P331" s="7">
        <f t="shared" si="35"/>
        <v>2014</v>
      </c>
    </row>
    <row r="332" spans="1:16" ht="15.75" customHeight="1" x14ac:dyDescent="0.3">
      <c r="A332" s="7" t="s">
        <v>27</v>
      </c>
      <c r="B332" s="7" t="s">
        <v>22</v>
      </c>
      <c r="C332" s="8" t="s">
        <v>24</v>
      </c>
      <c r="D332" s="8" t="s">
        <v>34</v>
      </c>
      <c r="E332" s="7">
        <v>2181</v>
      </c>
      <c r="F332" s="8">
        <v>5</v>
      </c>
      <c r="G332" s="8">
        <v>300</v>
      </c>
      <c r="H332" s="8">
        <f t="shared" si="30"/>
        <v>665205</v>
      </c>
      <c r="I332" s="8">
        <v>45801</v>
      </c>
      <c r="J332" s="8">
        <f t="shared" si="31"/>
        <v>619404</v>
      </c>
      <c r="K332" s="8">
        <v>545250</v>
      </c>
      <c r="L332" s="8">
        <f t="shared" si="32"/>
        <v>74154</v>
      </c>
      <c r="M332" s="9">
        <v>41913</v>
      </c>
      <c r="N332" s="10">
        <f t="shared" si="33"/>
        <v>10</v>
      </c>
      <c r="O332" s="8" t="str">
        <f t="shared" si="34"/>
        <v>October</v>
      </c>
      <c r="P332" s="7">
        <f t="shared" si="35"/>
        <v>2014</v>
      </c>
    </row>
    <row r="333" spans="1:16" ht="15.75" customHeight="1" x14ac:dyDescent="0.3">
      <c r="A333" s="11" t="s">
        <v>26</v>
      </c>
      <c r="B333" s="11" t="s">
        <v>20</v>
      </c>
      <c r="C333" s="12" t="s">
        <v>24</v>
      </c>
      <c r="D333" s="12" t="s">
        <v>34</v>
      </c>
      <c r="E333" s="11">
        <v>2500</v>
      </c>
      <c r="F333" s="12">
        <v>5</v>
      </c>
      <c r="G333" s="12">
        <v>125</v>
      </c>
      <c r="H333" s="8">
        <f t="shared" si="30"/>
        <v>325000</v>
      </c>
      <c r="I333" s="12">
        <v>21875</v>
      </c>
      <c r="J333" s="8">
        <f t="shared" si="31"/>
        <v>303125</v>
      </c>
      <c r="K333" s="12">
        <v>300000</v>
      </c>
      <c r="L333" s="8">
        <f t="shared" si="32"/>
        <v>3125</v>
      </c>
      <c r="M333" s="13">
        <v>41579</v>
      </c>
      <c r="N333" s="10">
        <f t="shared" si="33"/>
        <v>11</v>
      </c>
      <c r="O333" s="8" t="str">
        <f t="shared" si="34"/>
        <v>November</v>
      </c>
      <c r="P333" s="7">
        <f t="shared" si="35"/>
        <v>2013</v>
      </c>
    </row>
    <row r="334" spans="1:16" ht="15.75" customHeight="1" x14ac:dyDescent="0.3">
      <c r="A334" s="7" t="s">
        <v>27</v>
      </c>
      <c r="B334" s="7" t="s">
        <v>17</v>
      </c>
      <c r="C334" s="8" t="s">
        <v>29</v>
      </c>
      <c r="D334" s="8" t="s">
        <v>34</v>
      </c>
      <c r="E334" s="7">
        <v>1702</v>
      </c>
      <c r="F334" s="8">
        <v>10</v>
      </c>
      <c r="G334" s="8">
        <v>300</v>
      </c>
      <c r="H334" s="8">
        <f t="shared" si="30"/>
        <v>527620</v>
      </c>
      <c r="I334" s="8">
        <v>35742</v>
      </c>
      <c r="J334" s="8">
        <f t="shared" si="31"/>
        <v>491878</v>
      </c>
      <c r="K334" s="8">
        <v>425500</v>
      </c>
      <c r="L334" s="8">
        <f t="shared" si="32"/>
        <v>66378</v>
      </c>
      <c r="M334" s="9">
        <v>41760</v>
      </c>
      <c r="N334" s="10">
        <f t="shared" si="33"/>
        <v>5</v>
      </c>
      <c r="O334" s="8" t="str">
        <f t="shared" si="34"/>
        <v>May</v>
      </c>
      <c r="P334" s="7">
        <f t="shared" si="35"/>
        <v>2014</v>
      </c>
    </row>
    <row r="335" spans="1:16" ht="15.75" customHeight="1" x14ac:dyDescent="0.3">
      <c r="A335" s="11" t="s">
        <v>27</v>
      </c>
      <c r="B335" s="11" t="s">
        <v>22</v>
      </c>
      <c r="C335" s="12" t="s">
        <v>29</v>
      </c>
      <c r="D335" s="12" t="s">
        <v>34</v>
      </c>
      <c r="E335" s="11">
        <v>448</v>
      </c>
      <c r="F335" s="12">
        <v>10</v>
      </c>
      <c r="G335" s="12">
        <v>300</v>
      </c>
      <c r="H335" s="8">
        <f t="shared" si="30"/>
        <v>138880</v>
      </c>
      <c r="I335" s="12">
        <v>9408</v>
      </c>
      <c r="J335" s="8">
        <f t="shared" si="31"/>
        <v>129472</v>
      </c>
      <c r="K335" s="12">
        <v>112000</v>
      </c>
      <c r="L335" s="8">
        <f t="shared" si="32"/>
        <v>17472</v>
      </c>
      <c r="M335" s="13">
        <v>41791</v>
      </c>
      <c r="N335" s="10">
        <f t="shared" si="33"/>
        <v>6</v>
      </c>
      <c r="O335" s="8" t="str">
        <f t="shared" si="34"/>
        <v>June</v>
      </c>
      <c r="P335" s="7">
        <f t="shared" si="35"/>
        <v>2014</v>
      </c>
    </row>
    <row r="336" spans="1:16" ht="15.75" customHeight="1" x14ac:dyDescent="0.3">
      <c r="A336" s="7" t="s">
        <v>26</v>
      </c>
      <c r="B336" s="7" t="s">
        <v>20</v>
      </c>
      <c r="C336" s="8" t="s">
        <v>29</v>
      </c>
      <c r="D336" s="8" t="s">
        <v>34</v>
      </c>
      <c r="E336" s="7">
        <v>3513</v>
      </c>
      <c r="F336" s="8">
        <v>10</v>
      </c>
      <c r="G336" s="8">
        <v>125</v>
      </c>
      <c r="H336" s="8">
        <f t="shared" si="30"/>
        <v>474255</v>
      </c>
      <c r="I336" s="8">
        <v>30738.75</v>
      </c>
      <c r="J336" s="8">
        <f t="shared" si="31"/>
        <v>443516.25</v>
      </c>
      <c r="K336" s="8">
        <v>421560</v>
      </c>
      <c r="L336" s="8">
        <f t="shared" si="32"/>
        <v>21956.25</v>
      </c>
      <c r="M336" s="9">
        <v>41821</v>
      </c>
      <c r="N336" s="10">
        <f t="shared" si="33"/>
        <v>7</v>
      </c>
      <c r="O336" s="8" t="str">
        <f t="shared" si="34"/>
        <v>July</v>
      </c>
      <c r="P336" s="7">
        <f t="shared" si="35"/>
        <v>2014</v>
      </c>
    </row>
    <row r="337" spans="1:16" ht="15.75" customHeight="1" x14ac:dyDescent="0.3">
      <c r="A337" s="11" t="s">
        <v>21</v>
      </c>
      <c r="B337" s="11" t="s">
        <v>22</v>
      </c>
      <c r="C337" s="12" t="s">
        <v>29</v>
      </c>
      <c r="D337" s="12" t="s">
        <v>34</v>
      </c>
      <c r="E337" s="11">
        <v>2101</v>
      </c>
      <c r="F337" s="12">
        <v>10</v>
      </c>
      <c r="G337" s="12">
        <v>15</v>
      </c>
      <c r="H337" s="8">
        <f t="shared" si="30"/>
        <v>52525</v>
      </c>
      <c r="I337" s="12">
        <v>2206.0500000000002</v>
      </c>
      <c r="J337" s="8">
        <f t="shared" si="31"/>
        <v>50318.95</v>
      </c>
      <c r="K337" s="12">
        <v>21010</v>
      </c>
      <c r="L337" s="8">
        <f t="shared" si="32"/>
        <v>29308.949999999997</v>
      </c>
      <c r="M337" s="13">
        <v>41852</v>
      </c>
      <c r="N337" s="10">
        <f t="shared" si="33"/>
        <v>8</v>
      </c>
      <c r="O337" s="8" t="str">
        <f t="shared" si="34"/>
        <v>August</v>
      </c>
      <c r="P337" s="7">
        <f t="shared" si="35"/>
        <v>2014</v>
      </c>
    </row>
    <row r="338" spans="1:16" ht="15.75" customHeight="1" x14ac:dyDescent="0.3">
      <c r="A338" s="7" t="s">
        <v>21</v>
      </c>
      <c r="B338" s="7" t="s">
        <v>28</v>
      </c>
      <c r="C338" s="8" t="s">
        <v>29</v>
      </c>
      <c r="D338" s="8" t="s">
        <v>34</v>
      </c>
      <c r="E338" s="7">
        <v>2931</v>
      </c>
      <c r="F338" s="8">
        <v>10</v>
      </c>
      <c r="G338" s="8">
        <v>15</v>
      </c>
      <c r="H338" s="8">
        <f t="shared" si="30"/>
        <v>73275</v>
      </c>
      <c r="I338" s="8">
        <v>3077.55</v>
      </c>
      <c r="J338" s="8">
        <f t="shared" si="31"/>
        <v>70197.45</v>
      </c>
      <c r="K338" s="8">
        <v>29310</v>
      </c>
      <c r="L338" s="8">
        <f t="shared" si="32"/>
        <v>40887.449999999997</v>
      </c>
      <c r="M338" s="9">
        <v>41518</v>
      </c>
      <c r="N338" s="10">
        <f t="shared" si="33"/>
        <v>9</v>
      </c>
      <c r="O338" s="8" t="str">
        <f t="shared" si="34"/>
        <v>September</v>
      </c>
      <c r="P338" s="7">
        <f t="shared" si="35"/>
        <v>2013</v>
      </c>
    </row>
    <row r="339" spans="1:16" ht="15.75" customHeight="1" x14ac:dyDescent="0.3">
      <c r="A339" s="11" t="s">
        <v>16</v>
      </c>
      <c r="B339" s="11" t="s">
        <v>22</v>
      </c>
      <c r="C339" s="12" t="s">
        <v>29</v>
      </c>
      <c r="D339" s="12" t="s">
        <v>34</v>
      </c>
      <c r="E339" s="11">
        <v>1535</v>
      </c>
      <c r="F339" s="12">
        <v>10</v>
      </c>
      <c r="G339" s="12">
        <v>20</v>
      </c>
      <c r="H339" s="8">
        <f t="shared" si="30"/>
        <v>46050</v>
      </c>
      <c r="I339" s="12">
        <v>2149</v>
      </c>
      <c r="J339" s="8">
        <f t="shared" si="31"/>
        <v>43901</v>
      </c>
      <c r="K339" s="12">
        <v>15350</v>
      </c>
      <c r="L339" s="8">
        <f t="shared" si="32"/>
        <v>28551</v>
      </c>
      <c r="M339" s="13">
        <v>41883</v>
      </c>
      <c r="N339" s="10">
        <f t="shared" si="33"/>
        <v>9</v>
      </c>
      <c r="O339" s="8" t="str">
        <f t="shared" si="34"/>
        <v>September</v>
      </c>
      <c r="P339" s="7">
        <f t="shared" si="35"/>
        <v>2014</v>
      </c>
    </row>
    <row r="340" spans="1:16" ht="15.75" customHeight="1" x14ac:dyDescent="0.3">
      <c r="A340" s="7" t="s">
        <v>27</v>
      </c>
      <c r="B340" s="7" t="s">
        <v>20</v>
      </c>
      <c r="C340" s="8" t="s">
        <v>29</v>
      </c>
      <c r="D340" s="8" t="s">
        <v>34</v>
      </c>
      <c r="E340" s="7">
        <v>1123</v>
      </c>
      <c r="F340" s="8">
        <v>10</v>
      </c>
      <c r="G340" s="8">
        <v>300</v>
      </c>
      <c r="H340" s="8">
        <f t="shared" si="30"/>
        <v>348130</v>
      </c>
      <c r="I340" s="8">
        <v>23583</v>
      </c>
      <c r="J340" s="8">
        <f t="shared" si="31"/>
        <v>324547</v>
      </c>
      <c r="K340" s="8">
        <v>280750</v>
      </c>
      <c r="L340" s="8">
        <f t="shared" si="32"/>
        <v>43797</v>
      </c>
      <c r="M340" s="9">
        <v>41518</v>
      </c>
      <c r="N340" s="10">
        <f t="shared" si="33"/>
        <v>9</v>
      </c>
      <c r="O340" s="8" t="str">
        <f t="shared" si="34"/>
        <v>September</v>
      </c>
      <c r="P340" s="7">
        <f t="shared" si="35"/>
        <v>2013</v>
      </c>
    </row>
    <row r="341" spans="1:16" ht="15.75" customHeight="1" x14ac:dyDescent="0.3">
      <c r="A341" s="11" t="s">
        <v>27</v>
      </c>
      <c r="B341" s="11" t="s">
        <v>17</v>
      </c>
      <c r="C341" s="12" t="s">
        <v>29</v>
      </c>
      <c r="D341" s="12" t="s">
        <v>34</v>
      </c>
      <c r="E341" s="11">
        <v>1404</v>
      </c>
      <c r="F341" s="12">
        <v>10</v>
      </c>
      <c r="G341" s="12">
        <v>300</v>
      </c>
      <c r="H341" s="8">
        <f t="shared" si="30"/>
        <v>435240</v>
      </c>
      <c r="I341" s="12">
        <v>29484</v>
      </c>
      <c r="J341" s="8">
        <f t="shared" si="31"/>
        <v>405756</v>
      </c>
      <c r="K341" s="12">
        <v>351000</v>
      </c>
      <c r="L341" s="8">
        <f t="shared" si="32"/>
        <v>54756</v>
      </c>
      <c r="M341" s="13">
        <v>41579</v>
      </c>
      <c r="N341" s="10">
        <f t="shared" si="33"/>
        <v>11</v>
      </c>
      <c r="O341" s="8" t="str">
        <f t="shared" si="34"/>
        <v>November</v>
      </c>
      <c r="P341" s="7">
        <f t="shared" si="35"/>
        <v>2013</v>
      </c>
    </row>
    <row r="342" spans="1:16" ht="15.75" customHeight="1" x14ac:dyDescent="0.3">
      <c r="A342" s="7" t="s">
        <v>25</v>
      </c>
      <c r="B342" s="7" t="s">
        <v>23</v>
      </c>
      <c r="C342" s="8" t="s">
        <v>29</v>
      </c>
      <c r="D342" s="8" t="s">
        <v>34</v>
      </c>
      <c r="E342" s="7">
        <v>2763</v>
      </c>
      <c r="F342" s="8">
        <v>10</v>
      </c>
      <c r="G342" s="8">
        <v>12</v>
      </c>
      <c r="H342" s="8">
        <f t="shared" si="30"/>
        <v>60786</v>
      </c>
      <c r="I342" s="8">
        <v>2320.92</v>
      </c>
      <c r="J342" s="8">
        <f t="shared" si="31"/>
        <v>58465.08</v>
      </c>
      <c r="K342" s="8">
        <v>8289</v>
      </c>
      <c r="L342" s="8">
        <f t="shared" si="32"/>
        <v>50176.08</v>
      </c>
      <c r="M342" s="9">
        <v>41579</v>
      </c>
      <c r="N342" s="10">
        <f t="shared" si="33"/>
        <v>11</v>
      </c>
      <c r="O342" s="8" t="str">
        <f t="shared" si="34"/>
        <v>November</v>
      </c>
      <c r="P342" s="7">
        <f t="shared" si="35"/>
        <v>2013</v>
      </c>
    </row>
    <row r="343" spans="1:16" ht="15.75" customHeight="1" x14ac:dyDescent="0.3">
      <c r="A343" s="11" t="s">
        <v>16</v>
      </c>
      <c r="B343" s="11" t="s">
        <v>20</v>
      </c>
      <c r="C343" s="12" t="s">
        <v>29</v>
      </c>
      <c r="D343" s="12" t="s">
        <v>34</v>
      </c>
      <c r="E343" s="11">
        <v>2125</v>
      </c>
      <c r="F343" s="12">
        <v>10</v>
      </c>
      <c r="G343" s="12">
        <v>7</v>
      </c>
      <c r="H343" s="8">
        <f t="shared" si="30"/>
        <v>36125</v>
      </c>
      <c r="I343" s="12">
        <v>1041.25</v>
      </c>
      <c r="J343" s="8">
        <f t="shared" si="31"/>
        <v>35083.75</v>
      </c>
      <c r="K343" s="12">
        <v>10625</v>
      </c>
      <c r="L343" s="8">
        <f t="shared" si="32"/>
        <v>24458.75</v>
      </c>
      <c r="M343" s="13">
        <v>41609</v>
      </c>
      <c r="N343" s="10">
        <f t="shared" si="33"/>
        <v>12</v>
      </c>
      <c r="O343" s="8" t="str">
        <f t="shared" si="34"/>
        <v>December</v>
      </c>
      <c r="P343" s="7">
        <f t="shared" si="35"/>
        <v>2013</v>
      </c>
    </row>
    <row r="344" spans="1:16" ht="15.75" customHeight="1" x14ac:dyDescent="0.3">
      <c r="A344" s="7" t="s">
        <v>27</v>
      </c>
      <c r="B344" s="7" t="s">
        <v>22</v>
      </c>
      <c r="C344" s="8" t="s">
        <v>30</v>
      </c>
      <c r="D344" s="8" t="s">
        <v>34</v>
      </c>
      <c r="E344" s="7">
        <v>1659</v>
      </c>
      <c r="F344" s="8">
        <v>120</v>
      </c>
      <c r="G344" s="8">
        <v>300</v>
      </c>
      <c r="H344" s="8">
        <f t="shared" si="30"/>
        <v>696780</v>
      </c>
      <c r="I344" s="8">
        <v>34839</v>
      </c>
      <c r="J344" s="8">
        <f t="shared" si="31"/>
        <v>661941</v>
      </c>
      <c r="K344" s="8">
        <v>414750</v>
      </c>
      <c r="L344" s="8">
        <f t="shared" si="32"/>
        <v>247191</v>
      </c>
      <c r="M344" s="9">
        <v>41821</v>
      </c>
      <c r="N344" s="10">
        <f t="shared" si="33"/>
        <v>7</v>
      </c>
      <c r="O344" s="8" t="str">
        <f t="shared" si="34"/>
        <v>July</v>
      </c>
      <c r="P344" s="7">
        <f t="shared" si="35"/>
        <v>2014</v>
      </c>
    </row>
    <row r="345" spans="1:16" ht="15.75" customHeight="1" x14ac:dyDescent="0.3">
      <c r="A345" s="11" t="s">
        <v>16</v>
      </c>
      <c r="B345" s="11" t="s">
        <v>23</v>
      </c>
      <c r="C345" s="12" t="s">
        <v>30</v>
      </c>
      <c r="D345" s="12" t="s">
        <v>34</v>
      </c>
      <c r="E345" s="11">
        <v>609</v>
      </c>
      <c r="F345" s="12">
        <v>120</v>
      </c>
      <c r="G345" s="12">
        <v>20</v>
      </c>
      <c r="H345" s="8">
        <f t="shared" si="30"/>
        <v>85260</v>
      </c>
      <c r="I345" s="12">
        <v>852.6</v>
      </c>
      <c r="J345" s="8">
        <f t="shared" si="31"/>
        <v>84407.4</v>
      </c>
      <c r="K345" s="12">
        <v>6090</v>
      </c>
      <c r="L345" s="8">
        <f t="shared" si="32"/>
        <v>78317.399999999994</v>
      </c>
      <c r="M345" s="13">
        <v>41852</v>
      </c>
      <c r="N345" s="10">
        <f t="shared" si="33"/>
        <v>8</v>
      </c>
      <c r="O345" s="8" t="str">
        <f t="shared" si="34"/>
        <v>August</v>
      </c>
      <c r="P345" s="7">
        <f t="shared" si="35"/>
        <v>2014</v>
      </c>
    </row>
    <row r="346" spans="1:16" ht="15.75" customHeight="1" x14ac:dyDescent="0.3">
      <c r="A346" s="7" t="s">
        <v>26</v>
      </c>
      <c r="B346" s="7" t="s">
        <v>20</v>
      </c>
      <c r="C346" s="8" t="s">
        <v>30</v>
      </c>
      <c r="D346" s="8" t="s">
        <v>34</v>
      </c>
      <c r="E346" s="7">
        <v>2087</v>
      </c>
      <c r="F346" s="8">
        <v>120</v>
      </c>
      <c r="G346" s="8">
        <v>125</v>
      </c>
      <c r="H346" s="8">
        <f t="shared" si="30"/>
        <v>511315</v>
      </c>
      <c r="I346" s="8">
        <v>18261.25</v>
      </c>
      <c r="J346" s="8">
        <f t="shared" si="31"/>
        <v>493053.75</v>
      </c>
      <c r="K346" s="8">
        <v>250440</v>
      </c>
      <c r="L346" s="8">
        <f t="shared" si="32"/>
        <v>242613.75</v>
      </c>
      <c r="M346" s="9">
        <v>41883</v>
      </c>
      <c r="N346" s="10">
        <f t="shared" si="33"/>
        <v>9</v>
      </c>
      <c r="O346" s="8" t="str">
        <f t="shared" si="34"/>
        <v>September</v>
      </c>
      <c r="P346" s="7">
        <f t="shared" si="35"/>
        <v>2014</v>
      </c>
    </row>
    <row r="347" spans="1:16" ht="15.75" customHeight="1" x14ac:dyDescent="0.3">
      <c r="A347" s="11" t="s">
        <v>16</v>
      </c>
      <c r="B347" s="11" t="s">
        <v>22</v>
      </c>
      <c r="C347" s="12" t="s">
        <v>30</v>
      </c>
      <c r="D347" s="12" t="s">
        <v>34</v>
      </c>
      <c r="E347" s="11">
        <v>1976</v>
      </c>
      <c r="F347" s="12">
        <v>120</v>
      </c>
      <c r="G347" s="12">
        <v>20</v>
      </c>
      <c r="H347" s="8">
        <f t="shared" si="30"/>
        <v>276640</v>
      </c>
      <c r="I347" s="12">
        <v>2766.4</v>
      </c>
      <c r="J347" s="8">
        <f t="shared" si="31"/>
        <v>273873.59999999998</v>
      </c>
      <c r="K347" s="12">
        <v>19760</v>
      </c>
      <c r="L347" s="8">
        <f t="shared" si="32"/>
        <v>254113.59999999998</v>
      </c>
      <c r="M347" s="13">
        <v>41913</v>
      </c>
      <c r="N347" s="10">
        <f t="shared" si="33"/>
        <v>10</v>
      </c>
      <c r="O347" s="8" t="str">
        <f t="shared" si="34"/>
        <v>October</v>
      </c>
      <c r="P347" s="7">
        <f t="shared" si="35"/>
        <v>2014</v>
      </c>
    </row>
    <row r="348" spans="1:16" ht="15.75" customHeight="1" x14ac:dyDescent="0.3">
      <c r="A348" s="7" t="s">
        <v>16</v>
      </c>
      <c r="B348" s="7" t="s">
        <v>28</v>
      </c>
      <c r="C348" s="8" t="s">
        <v>30</v>
      </c>
      <c r="D348" s="8" t="s">
        <v>34</v>
      </c>
      <c r="E348" s="7">
        <v>1421</v>
      </c>
      <c r="F348" s="8">
        <v>120</v>
      </c>
      <c r="G348" s="8">
        <v>20</v>
      </c>
      <c r="H348" s="8">
        <f t="shared" si="30"/>
        <v>198940</v>
      </c>
      <c r="I348" s="8">
        <v>1989.4</v>
      </c>
      <c r="J348" s="8">
        <f t="shared" si="31"/>
        <v>196950.6</v>
      </c>
      <c r="K348" s="8">
        <v>14210</v>
      </c>
      <c r="L348" s="8">
        <f t="shared" si="32"/>
        <v>182740.6</v>
      </c>
      <c r="M348" s="9">
        <v>41609</v>
      </c>
      <c r="N348" s="10">
        <f t="shared" si="33"/>
        <v>12</v>
      </c>
      <c r="O348" s="8" t="str">
        <f t="shared" si="34"/>
        <v>December</v>
      </c>
      <c r="P348" s="7">
        <f t="shared" si="35"/>
        <v>2013</v>
      </c>
    </row>
    <row r="349" spans="1:16" ht="15.75" customHeight="1" x14ac:dyDescent="0.3">
      <c r="A349" s="11" t="s">
        <v>27</v>
      </c>
      <c r="B349" s="11" t="s">
        <v>28</v>
      </c>
      <c r="C349" s="12" t="s">
        <v>30</v>
      </c>
      <c r="D349" s="12" t="s">
        <v>34</v>
      </c>
      <c r="E349" s="11">
        <v>1372</v>
      </c>
      <c r="F349" s="12">
        <v>120</v>
      </c>
      <c r="G349" s="12">
        <v>300</v>
      </c>
      <c r="H349" s="8">
        <f t="shared" si="30"/>
        <v>576240</v>
      </c>
      <c r="I349" s="12">
        <v>28812</v>
      </c>
      <c r="J349" s="8">
        <f t="shared" si="31"/>
        <v>547428</v>
      </c>
      <c r="K349" s="12">
        <v>343000</v>
      </c>
      <c r="L349" s="8">
        <f t="shared" si="32"/>
        <v>204428</v>
      </c>
      <c r="M349" s="13">
        <v>41974</v>
      </c>
      <c r="N349" s="10">
        <f t="shared" si="33"/>
        <v>12</v>
      </c>
      <c r="O349" s="8" t="str">
        <f t="shared" si="34"/>
        <v>December</v>
      </c>
      <c r="P349" s="7">
        <f t="shared" si="35"/>
        <v>2014</v>
      </c>
    </row>
    <row r="350" spans="1:16" ht="15.75" customHeight="1" x14ac:dyDescent="0.3">
      <c r="A350" s="7" t="s">
        <v>16</v>
      </c>
      <c r="B350" s="7" t="s">
        <v>20</v>
      </c>
      <c r="C350" s="8" t="s">
        <v>30</v>
      </c>
      <c r="D350" s="8" t="s">
        <v>34</v>
      </c>
      <c r="E350" s="7">
        <v>588</v>
      </c>
      <c r="F350" s="8">
        <v>120</v>
      </c>
      <c r="G350" s="8">
        <v>20</v>
      </c>
      <c r="H350" s="8">
        <f t="shared" si="30"/>
        <v>82320</v>
      </c>
      <c r="I350" s="8">
        <v>823.2</v>
      </c>
      <c r="J350" s="8">
        <f t="shared" si="31"/>
        <v>81496.800000000003</v>
      </c>
      <c r="K350" s="8">
        <v>5880</v>
      </c>
      <c r="L350" s="8">
        <f t="shared" si="32"/>
        <v>75616.800000000003</v>
      </c>
      <c r="M350" s="9">
        <v>41609</v>
      </c>
      <c r="N350" s="10">
        <f t="shared" si="33"/>
        <v>12</v>
      </c>
      <c r="O350" s="8" t="str">
        <f t="shared" si="34"/>
        <v>December</v>
      </c>
      <c r="P350" s="7">
        <f t="shared" si="35"/>
        <v>2013</v>
      </c>
    </row>
    <row r="351" spans="1:16" ht="15.75" customHeight="1" x14ac:dyDescent="0.3">
      <c r="A351" s="11" t="s">
        <v>25</v>
      </c>
      <c r="B351" s="11" t="s">
        <v>17</v>
      </c>
      <c r="C351" s="12" t="s">
        <v>31</v>
      </c>
      <c r="D351" s="12" t="s">
        <v>34</v>
      </c>
      <c r="E351" s="11">
        <v>3244.5</v>
      </c>
      <c r="F351" s="12">
        <v>250</v>
      </c>
      <c r="G351" s="12">
        <v>12</v>
      </c>
      <c r="H351" s="8">
        <f t="shared" si="30"/>
        <v>850059</v>
      </c>
      <c r="I351" s="12">
        <v>2725.38</v>
      </c>
      <c r="J351" s="8">
        <f t="shared" si="31"/>
        <v>847333.62</v>
      </c>
      <c r="K351" s="12">
        <v>9733.5</v>
      </c>
      <c r="L351" s="8">
        <f t="shared" si="32"/>
        <v>837600.12</v>
      </c>
      <c r="M351" s="13">
        <v>41640</v>
      </c>
      <c r="N351" s="10">
        <f t="shared" si="33"/>
        <v>1</v>
      </c>
      <c r="O351" s="8" t="str">
        <f t="shared" si="34"/>
        <v>January</v>
      </c>
      <c r="P351" s="7">
        <f t="shared" si="35"/>
        <v>2014</v>
      </c>
    </row>
    <row r="352" spans="1:16" ht="15.75" customHeight="1" x14ac:dyDescent="0.3">
      <c r="A352" s="7" t="s">
        <v>27</v>
      </c>
      <c r="B352" s="7" t="s">
        <v>22</v>
      </c>
      <c r="C352" s="8" t="s">
        <v>31</v>
      </c>
      <c r="D352" s="8" t="s">
        <v>34</v>
      </c>
      <c r="E352" s="7">
        <v>959</v>
      </c>
      <c r="F352" s="8">
        <v>250</v>
      </c>
      <c r="G352" s="8">
        <v>300</v>
      </c>
      <c r="H352" s="8">
        <f t="shared" si="30"/>
        <v>527450</v>
      </c>
      <c r="I352" s="8">
        <v>20139</v>
      </c>
      <c r="J352" s="8">
        <f t="shared" si="31"/>
        <v>507311</v>
      </c>
      <c r="K352" s="8">
        <v>239750</v>
      </c>
      <c r="L352" s="8">
        <f t="shared" si="32"/>
        <v>267561</v>
      </c>
      <c r="M352" s="9">
        <v>41671</v>
      </c>
      <c r="N352" s="10">
        <f t="shared" si="33"/>
        <v>2</v>
      </c>
      <c r="O352" s="8" t="str">
        <f t="shared" si="34"/>
        <v>February</v>
      </c>
      <c r="P352" s="7">
        <f t="shared" si="35"/>
        <v>2014</v>
      </c>
    </row>
    <row r="353" spans="1:16" ht="15.75" customHeight="1" x14ac:dyDescent="0.3">
      <c r="A353" s="11" t="s">
        <v>27</v>
      </c>
      <c r="B353" s="11" t="s">
        <v>23</v>
      </c>
      <c r="C353" s="12" t="s">
        <v>31</v>
      </c>
      <c r="D353" s="12" t="s">
        <v>34</v>
      </c>
      <c r="E353" s="11">
        <v>2747</v>
      </c>
      <c r="F353" s="12">
        <v>250</v>
      </c>
      <c r="G353" s="12">
        <v>300</v>
      </c>
      <c r="H353" s="8">
        <f t="shared" si="30"/>
        <v>1510850</v>
      </c>
      <c r="I353" s="12">
        <v>57687</v>
      </c>
      <c r="J353" s="8">
        <f t="shared" si="31"/>
        <v>1453163</v>
      </c>
      <c r="K353" s="12">
        <v>686750</v>
      </c>
      <c r="L353" s="8">
        <f t="shared" si="32"/>
        <v>766413</v>
      </c>
      <c r="M353" s="13">
        <v>41671</v>
      </c>
      <c r="N353" s="10">
        <f t="shared" si="33"/>
        <v>2</v>
      </c>
      <c r="O353" s="8" t="str">
        <f t="shared" si="34"/>
        <v>February</v>
      </c>
      <c r="P353" s="7">
        <f t="shared" si="35"/>
        <v>2014</v>
      </c>
    </row>
    <row r="354" spans="1:16" ht="15.75" customHeight="1" x14ac:dyDescent="0.3">
      <c r="A354" s="7" t="s">
        <v>26</v>
      </c>
      <c r="B354" s="7" t="s">
        <v>17</v>
      </c>
      <c r="C354" s="8" t="s">
        <v>32</v>
      </c>
      <c r="D354" s="8" t="s">
        <v>34</v>
      </c>
      <c r="E354" s="7">
        <v>1645</v>
      </c>
      <c r="F354" s="8">
        <v>260</v>
      </c>
      <c r="G354" s="8">
        <v>125</v>
      </c>
      <c r="H354" s="8">
        <f t="shared" si="30"/>
        <v>633325</v>
      </c>
      <c r="I354" s="8">
        <v>14393.75</v>
      </c>
      <c r="J354" s="8">
        <f t="shared" si="31"/>
        <v>618931.25</v>
      </c>
      <c r="K354" s="8">
        <v>197400</v>
      </c>
      <c r="L354" s="8">
        <f t="shared" si="32"/>
        <v>421531.25</v>
      </c>
      <c r="M354" s="9">
        <v>41760</v>
      </c>
      <c r="N354" s="10">
        <f t="shared" si="33"/>
        <v>5</v>
      </c>
      <c r="O354" s="8" t="str">
        <f t="shared" si="34"/>
        <v>May</v>
      </c>
      <c r="P354" s="7">
        <f t="shared" si="35"/>
        <v>2014</v>
      </c>
    </row>
    <row r="355" spans="1:16" ht="15.75" customHeight="1" x14ac:dyDescent="0.3">
      <c r="A355" s="11" t="s">
        <v>16</v>
      </c>
      <c r="B355" s="11" t="s">
        <v>22</v>
      </c>
      <c r="C355" s="12" t="s">
        <v>32</v>
      </c>
      <c r="D355" s="12" t="s">
        <v>34</v>
      </c>
      <c r="E355" s="11">
        <v>2876</v>
      </c>
      <c r="F355" s="12">
        <v>260</v>
      </c>
      <c r="G355" s="12">
        <v>350</v>
      </c>
      <c r="H355" s="8">
        <f t="shared" si="30"/>
        <v>1754360</v>
      </c>
      <c r="I355" s="12">
        <v>70462</v>
      </c>
      <c r="J355" s="8">
        <f t="shared" si="31"/>
        <v>1683898</v>
      </c>
      <c r="K355" s="12">
        <v>747760</v>
      </c>
      <c r="L355" s="8">
        <f t="shared" si="32"/>
        <v>936138</v>
      </c>
      <c r="M355" s="13">
        <v>41883</v>
      </c>
      <c r="N355" s="10">
        <f t="shared" si="33"/>
        <v>9</v>
      </c>
      <c r="O355" s="8" t="str">
        <f t="shared" si="34"/>
        <v>September</v>
      </c>
      <c r="P355" s="7">
        <f t="shared" si="35"/>
        <v>2014</v>
      </c>
    </row>
    <row r="356" spans="1:16" ht="15.75" customHeight="1" x14ac:dyDescent="0.3">
      <c r="A356" s="7" t="s">
        <v>26</v>
      </c>
      <c r="B356" s="7" t="s">
        <v>20</v>
      </c>
      <c r="C356" s="8" t="s">
        <v>32</v>
      </c>
      <c r="D356" s="8" t="s">
        <v>34</v>
      </c>
      <c r="E356" s="7">
        <v>994</v>
      </c>
      <c r="F356" s="8">
        <v>260</v>
      </c>
      <c r="G356" s="8">
        <v>125</v>
      </c>
      <c r="H356" s="8">
        <f t="shared" si="30"/>
        <v>382690</v>
      </c>
      <c r="I356" s="8">
        <v>8697.5</v>
      </c>
      <c r="J356" s="8">
        <f t="shared" si="31"/>
        <v>373992.5</v>
      </c>
      <c r="K356" s="8">
        <v>119280</v>
      </c>
      <c r="L356" s="8">
        <f t="shared" si="32"/>
        <v>254712.5</v>
      </c>
      <c r="M356" s="9">
        <v>41518</v>
      </c>
      <c r="N356" s="10">
        <f t="shared" si="33"/>
        <v>9</v>
      </c>
      <c r="O356" s="8" t="str">
        <f t="shared" si="34"/>
        <v>September</v>
      </c>
      <c r="P356" s="7">
        <f t="shared" si="35"/>
        <v>2013</v>
      </c>
    </row>
    <row r="357" spans="1:16" ht="15.75" customHeight="1" x14ac:dyDescent="0.3">
      <c r="A357" s="11" t="s">
        <v>16</v>
      </c>
      <c r="B357" s="11" t="s">
        <v>17</v>
      </c>
      <c r="C357" s="12" t="s">
        <v>32</v>
      </c>
      <c r="D357" s="12" t="s">
        <v>34</v>
      </c>
      <c r="E357" s="11">
        <v>1118</v>
      </c>
      <c r="F357" s="12">
        <v>260</v>
      </c>
      <c r="G357" s="12">
        <v>20</v>
      </c>
      <c r="H357" s="8">
        <f t="shared" si="30"/>
        <v>313040</v>
      </c>
      <c r="I357" s="12">
        <v>1565.2</v>
      </c>
      <c r="J357" s="8">
        <f t="shared" si="31"/>
        <v>311474.8</v>
      </c>
      <c r="K357" s="12">
        <v>11180</v>
      </c>
      <c r="L357" s="8">
        <f t="shared" si="32"/>
        <v>300294.8</v>
      </c>
      <c r="M357" s="13">
        <v>41944</v>
      </c>
      <c r="N357" s="10">
        <f t="shared" si="33"/>
        <v>11</v>
      </c>
      <c r="O357" s="8" t="str">
        <f t="shared" si="34"/>
        <v>November</v>
      </c>
      <c r="P357" s="7">
        <f t="shared" si="35"/>
        <v>2014</v>
      </c>
    </row>
    <row r="358" spans="1:16" ht="15.75" customHeight="1" x14ac:dyDescent="0.3">
      <c r="A358" s="7" t="s">
        <v>27</v>
      </c>
      <c r="B358" s="7" t="s">
        <v>28</v>
      </c>
      <c r="C358" s="8" t="s">
        <v>32</v>
      </c>
      <c r="D358" s="8" t="s">
        <v>34</v>
      </c>
      <c r="E358" s="7">
        <v>1372</v>
      </c>
      <c r="F358" s="8">
        <v>260</v>
      </c>
      <c r="G358" s="8">
        <v>300</v>
      </c>
      <c r="H358" s="8">
        <f t="shared" si="30"/>
        <v>768320</v>
      </c>
      <c r="I358" s="8">
        <v>28812</v>
      </c>
      <c r="J358" s="8">
        <f t="shared" si="31"/>
        <v>739508</v>
      </c>
      <c r="K358" s="8">
        <v>343000</v>
      </c>
      <c r="L358" s="8">
        <f t="shared" si="32"/>
        <v>396508</v>
      </c>
      <c r="M358" s="9">
        <v>41974</v>
      </c>
      <c r="N358" s="10">
        <f t="shared" si="33"/>
        <v>12</v>
      </c>
      <c r="O358" s="8" t="str">
        <f t="shared" si="34"/>
        <v>December</v>
      </c>
      <c r="P358" s="7">
        <f t="shared" si="35"/>
        <v>2014</v>
      </c>
    </row>
    <row r="359" spans="1:16" ht="15.75" customHeight="1" x14ac:dyDescent="0.3">
      <c r="A359" s="11" t="s">
        <v>16</v>
      </c>
      <c r="B359" s="11" t="s">
        <v>17</v>
      </c>
      <c r="C359" s="12" t="s">
        <v>24</v>
      </c>
      <c r="D359" s="12" t="s">
        <v>34</v>
      </c>
      <c r="E359" s="11">
        <v>488</v>
      </c>
      <c r="F359" s="12">
        <v>5</v>
      </c>
      <c r="G359" s="12">
        <v>7</v>
      </c>
      <c r="H359" s="8">
        <f t="shared" si="30"/>
        <v>5856</v>
      </c>
      <c r="I359" s="12">
        <v>273.27999999999997</v>
      </c>
      <c r="J359" s="8">
        <f t="shared" si="31"/>
        <v>5582.72</v>
      </c>
      <c r="K359" s="12">
        <v>2440</v>
      </c>
      <c r="L359" s="8">
        <f t="shared" si="32"/>
        <v>3142.7200000000003</v>
      </c>
      <c r="M359" s="13">
        <v>41671</v>
      </c>
      <c r="N359" s="10">
        <f t="shared" si="33"/>
        <v>2</v>
      </c>
      <c r="O359" s="8" t="str">
        <f t="shared" si="34"/>
        <v>February</v>
      </c>
      <c r="P359" s="7">
        <f t="shared" si="35"/>
        <v>2014</v>
      </c>
    </row>
    <row r="360" spans="1:16" ht="15.75" customHeight="1" x14ac:dyDescent="0.3">
      <c r="A360" s="7" t="s">
        <v>16</v>
      </c>
      <c r="B360" s="7" t="s">
        <v>28</v>
      </c>
      <c r="C360" s="8" t="s">
        <v>24</v>
      </c>
      <c r="D360" s="8" t="s">
        <v>34</v>
      </c>
      <c r="E360" s="7">
        <v>1282</v>
      </c>
      <c r="F360" s="8">
        <v>5</v>
      </c>
      <c r="G360" s="8">
        <v>20</v>
      </c>
      <c r="H360" s="8">
        <f t="shared" si="30"/>
        <v>32050</v>
      </c>
      <c r="I360" s="8">
        <v>2051.1999999999998</v>
      </c>
      <c r="J360" s="8">
        <f t="shared" si="31"/>
        <v>29998.799999999999</v>
      </c>
      <c r="K360" s="8">
        <v>12820</v>
      </c>
      <c r="L360" s="8">
        <f t="shared" si="32"/>
        <v>17178.8</v>
      </c>
      <c r="M360" s="9">
        <v>41791</v>
      </c>
      <c r="N360" s="10">
        <f t="shared" si="33"/>
        <v>6</v>
      </c>
      <c r="O360" s="8" t="str">
        <f t="shared" si="34"/>
        <v>June</v>
      </c>
      <c r="P360" s="7">
        <f t="shared" si="35"/>
        <v>2014</v>
      </c>
    </row>
    <row r="361" spans="1:16" ht="15.75" customHeight="1" x14ac:dyDescent="0.3">
      <c r="A361" s="11" t="s">
        <v>16</v>
      </c>
      <c r="B361" s="11" t="s">
        <v>17</v>
      </c>
      <c r="C361" s="12" t="s">
        <v>29</v>
      </c>
      <c r="D361" s="12" t="s">
        <v>34</v>
      </c>
      <c r="E361" s="11">
        <v>257</v>
      </c>
      <c r="F361" s="12">
        <v>10</v>
      </c>
      <c r="G361" s="12">
        <v>7</v>
      </c>
      <c r="H361" s="8">
        <f t="shared" si="30"/>
        <v>4369</v>
      </c>
      <c r="I361" s="12">
        <v>143.91999999999999</v>
      </c>
      <c r="J361" s="8">
        <f t="shared" si="31"/>
        <v>4225.08</v>
      </c>
      <c r="K361" s="12">
        <v>1285</v>
      </c>
      <c r="L361" s="8">
        <f t="shared" si="32"/>
        <v>2940.08</v>
      </c>
      <c r="M361" s="13">
        <v>41760</v>
      </c>
      <c r="N361" s="10">
        <f t="shared" si="33"/>
        <v>5</v>
      </c>
      <c r="O361" s="8" t="str">
        <f t="shared" si="34"/>
        <v>May</v>
      </c>
      <c r="P361" s="7">
        <f t="shared" si="35"/>
        <v>2014</v>
      </c>
    </row>
    <row r="362" spans="1:16" ht="15.75" customHeight="1" x14ac:dyDescent="0.3">
      <c r="A362" s="7" t="s">
        <v>16</v>
      </c>
      <c r="B362" s="7" t="s">
        <v>28</v>
      </c>
      <c r="C362" s="8" t="s">
        <v>32</v>
      </c>
      <c r="D362" s="8" t="s">
        <v>34</v>
      </c>
      <c r="E362" s="7">
        <v>1282</v>
      </c>
      <c r="F362" s="8">
        <v>260</v>
      </c>
      <c r="G362" s="8">
        <v>20</v>
      </c>
      <c r="H362" s="8">
        <f t="shared" si="30"/>
        <v>358960</v>
      </c>
      <c r="I362" s="8">
        <v>2051.1999999999998</v>
      </c>
      <c r="J362" s="8">
        <f t="shared" si="31"/>
        <v>356908.79999999999</v>
      </c>
      <c r="K362" s="8">
        <v>12820</v>
      </c>
      <c r="L362" s="8">
        <f t="shared" si="32"/>
        <v>344088.8</v>
      </c>
      <c r="M362" s="9">
        <v>41791</v>
      </c>
      <c r="N362" s="10">
        <f t="shared" si="33"/>
        <v>6</v>
      </c>
      <c r="O362" s="8" t="str">
        <f t="shared" si="34"/>
        <v>June</v>
      </c>
      <c r="P362" s="7">
        <f t="shared" si="35"/>
        <v>2014</v>
      </c>
    </row>
    <row r="363" spans="1:16" ht="15.75" customHeight="1" x14ac:dyDescent="0.3">
      <c r="A363" s="11" t="s">
        <v>26</v>
      </c>
      <c r="B363" s="11" t="s">
        <v>23</v>
      </c>
      <c r="C363" s="12" t="s">
        <v>18</v>
      </c>
      <c r="D363" s="12" t="s">
        <v>34</v>
      </c>
      <c r="E363" s="11">
        <v>1540</v>
      </c>
      <c r="F363" s="12">
        <v>3</v>
      </c>
      <c r="G363" s="12">
        <v>125</v>
      </c>
      <c r="H363" s="8">
        <f t="shared" si="30"/>
        <v>197120</v>
      </c>
      <c r="I363" s="12">
        <v>15400</v>
      </c>
      <c r="J363" s="8">
        <f t="shared" si="31"/>
        <v>181720</v>
      </c>
      <c r="K363" s="12">
        <v>184800</v>
      </c>
      <c r="L363" s="8">
        <f t="shared" si="32"/>
        <v>-3080</v>
      </c>
      <c r="M363" s="13">
        <v>41852</v>
      </c>
      <c r="N363" s="10">
        <f t="shared" si="33"/>
        <v>8</v>
      </c>
      <c r="O363" s="8" t="str">
        <f t="shared" si="34"/>
        <v>August</v>
      </c>
      <c r="P363" s="7">
        <f t="shared" si="35"/>
        <v>2014</v>
      </c>
    </row>
    <row r="364" spans="1:16" ht="15.75" customHeight="1" x14ac:dyDescent="0.3">
      <c r="A364" s="7" t="s">
        <v>21</v>
      </c>
      <c r="B364" s="7" t="s">
        <v>22</v>
      </c>
      <c r="C364" s="8" t="s">
        <v>18</v>
      </c>
      <c r="D364" s="8" t="s">
        <v>34</v>
      </c>
      <c r="E364" s="7">
        <v>490</v>
      </c>
      <c r="F364" s="8">
        <v>3</v>
      </c>
      <c r="G364" s="8">
        <v>15</v>
      </c>
      <c r="H364" s="8">
        <f t="shared" si="30"/>
        <v>8820</v>
      </c>
      <c r="I364" s="8">
        <v>588</v>
      </c>
      <c r="J364" s="8">
        <f t="shared" si="31"/>
        <v>8232</v>
      </c>
      <c r="K364" s="8">
        <v>4900</v>
      </c>
      <c r="L364" s="8">
        <f t="shared" si="32"/>
        <v>3332</v>
      </c>
      <c r="M364" s="9">
        <v>41944</v>
      </c>
      <c r="N364" s="10">
        <f t="shared" si="33"/>
        <v>11</v>
      </c>
      <c r="O364" s="8" t="str">
        <f t="shared" si="34"/>
        <v>November</v>
      </c>
      <c r="P364" s="7">
        <f t="shared" si="35"/>
        <v>2014</v>
      </c>
    </row>
    <row r="365" spans="1:16" ht="15.75" customHeight="1" x14ac:dyDescent="0.3">
      <c r="A365" s="11" t="s">
        <v>16</v>
      </c>
      <c r="B365" s="11" t="s">
        <v>23</v>
      </c>
      <c r="C365" s="12" t="s">
        <v>18</v>
      </c>
      <c r="D365" s="12" t="s">
        <v>34</v>
      </c>
      <c r="E365" s="11">
        <v>1362</v>
      </c>
      <c r="F365" s="12">
        <v>3</v>
      </c>
      <c r="G365" s="12">
        <v>350</v>
      </c>
      <c r="H365" s="8">
        <f t="shared" si="30"/>
        <v>480786</v>
      </c>
      <c r="I365" s="12">
        <v>38136</v>
      </c>
      <c r="J365" s="8">
        <f t="shared" si="31"/>
        <v>442650</v>
      </c>
      <c r="K365" s="12">
        <v>354120</v>
      </c>
      <c r="L365" s="8">
        <f t="shared" si="32"/>
        <v>88530</v>
      </c>
      <c r="M365" s="13">
        <v>41974</v>
      </c>
      <c r="N365" s="10">
        <f t="shared" si="33"/>
        <v>12</v>
      </c>
      <c r="O365" s="8" t="str">
        <f t="shared" si="34"/>
        <v>December</v>
      </c>
      <c r="P365" s="7">
        <f t="shared" si="35"/>
        <v>2014</v>
      </c>
    </row>
    <row r="366" spans="1:16" ht="15.75" customHeight="1" x14ac:dyDescent="0.3">
      <c r="A366" s="7" t="s">
        <v>21</v>
      </c>
      <c r="B366" s="7" t="s">
        <v>22</v>
      </c>
      <c r="C366" s="8" t="s">
        <v>24</v>
      </c>
      <c r="D366" s="8" t="s">
        <v>34</v>
      </c>
      <c r="E366" s="7">
        <v>2501</v>
      </c>
      <c r="F366" s="8">
        <v>5</v>
      </c>
      <c r="G366" s="8">
        <v>15</v>
      </c>
      <c r="H366" s="8">
        <f t="shared" si="30"/>
        <v>50020</v>
      </c>
      <c r="I366" s="8">
        <v>3001.2</v>
      </c>
      <c r="J366" s="8">
        <f t="shared" si="31"/>
        <v>47018.8</v>
      </c>
      <c r="K366" s="8">
        <v>25010</v>
      </c>
      <c r="L366" s="8">
        <f t="shared" si="32"/>
        <v>22008.800000000003</v>
      </c>
      <c r="M366" s="9">
        <v>41699</v>
      </c>
      <c r="N366" s="10">
        <f t="shared" si="33"/>
        <v>3</v>
      </c>
      <c r="O366" s="8" t="str">
        <f t="shared" si="34"/>
        <v>March</v>
      </c>
      <c r="P366" s="7">
        <f t="shared" si="35"/>
        <v>2014</v>
      </c>
    </row>
    <row r="367" spans="1:16" ht="15.75" customHeight="1" x14ac:dyDescent="0.3">
      <c r="A367" s="11" t="s">
        <v>16</v>
      </c>
      <c r="B367" s="11" t="s">
        <v>17</v>
      </c>
      <c r="C367" s="12" t="s">
        <v>24</v>
      </c>
      <c r="D367" s="12" t="s">
        <v>34</v>
      </c>
      <c r="E367" s="11">
        <v>708</v>
      </c>
      <c r="F367" s="12">
        <v>5</v>
      </c>
      <c r="G367" s="12">
        <v>20</v>
      </c>
      <c r="H367" s="8">
        <f t="shared" si="30"/>
        <v>17700</v>
      </c>
      <c r="I367" s="12">
        <v>1132.8</v>
      </c>
      <c r="J367" s="8">
        <f t="shared" si="31"/>
        <v>16567.2</v>
      </c>
      <c r="K367" s="12">
        <v>7080</v>
      </c>
      <c r="L367" s="8">
        <f t="shared" si="32"/>
        <v>9487.2000000000007</v>
      </c>
      <c r="M367" s="13">
        <v>41791</v>
      </c>
      <c r="N367" s="10">
        <f t="shared" si="33"/>
        <v>6</v>
      </c>
      <c r="O367" s="8" t="str">
        <f t="shared" si="34"/>
        <v>June</v>
      </c>
      <c r="P367" s="7">
        <f t="shared" si="35"/>
        <v>2014</v>
      </c>
    </row>
    <row r="368" spans="1:16" ht="15.75" customHeight="1" x14ac:dyDescent="0.3">
      <c r="A368" s="7" t="s">
        <v>16</v>
      </c>
      <c r="B368" s="7" t="s">
        <v>20</v>
      </c>
      <c r="C368" s="8" t="s">
        <v>24</v>
      </c>
      <c r="D368" s="8" t="s">
        <v>34</v>
      </c>
      <c r="E368" s="7">
        <v>645</v>
      </c>
      <c r="F368" s="8">
        <v>5</v>
      </c>
      <c r="G368" s="8">
        <v>20</v>
      </c>
      <c r="H368" s="8">
        <f t="shared" si="30"/>
        <v>16125</v>
      </c>
      <c r="I368" s="8">
        <v>1032</v>
      </c>
      <c r="J368" s="8">
        <f t="shared" si="31"/>
        <v>15093</v>
      </c>
      <c r="K368" s="8">
        <v>6450</v>
      </c>
      <c r="L368" s="8">
        <f t="shared" si="32"/>
        <v>8643</v>
      </c>
      <c r="M368" s="9">
        <v>41821</v>
      </c>
      <c r="N368" s="10">
        <f t="shared" si="33"/>
        <v>7</v>
      </c>
      <c r="O368" s="8" t="str">
        <f t="shared" si="34"/>
        <v>July</v>
      </c>
      <c r="P368" s="7">
        <f t="shared" si="35"/>
        <v>2014</v>
      </c>
    </row>
    <row r="369" spans="1:16" ht="15.75" customHeight="1" x14ac:dyDescent="0.3">
      <c r="A369" s="11" t="s">
        <v>27</v>
      </c>
      <c r="B369" s="11" t="s">
        <v>22</v>
      </c>
      <c r="C369" s="12" t="s">
        <v>24</v>
      </c>
      <c r="D369" s="12" t="s">
        <v>34</v>
      </c>
      <c r="E369" s="11">
        <v>1562</v>
      </c>
      <c r="F369" s="12">
        <v>5</v>
      </c>
      <c r="G369" s="12">
        <v>300</v>
      </c>
      <c r="H369" s="8">
        <f t="shared" si="30"/>
        <v>476410</v>
      </c>
      <c r="I369" s="12">
        <v>37488</v>
      </c>
      <c r="J369" s="8">
        <f t="shared" si="31"/>
        <v>438922</v>
      </c>
      <c r="K369" s="12">
        <v>390500</v>
      </c>
      <c r="L369" s="8">
        <f t="shared" si="32"/>
        <v>48422</v>
      </c>
      <c r="M369" s="13">
        <v>41852</v>
      </c>
      <c r="N369" s="10">
        <f t="shared" si="33"/>
        <v>8</v>
      </c>
      <c r="O369" s="8" t="str">
        <f t="shared" si="34"/>
        <v>August</v>
      </c>
      <c r="P369" s="7">
        <f t="shared" si="35"/>
        <v>2014</v>
      </c>
    </row>
    <row r="370" spans="1:16" ht="15.75" customHeight="1" x14ac:dyDescent="0.3">
      <c r="A370" s="7" t="s">
        <v>27</v>
      </c>
      <c r="B370" s="7" t="s">
        <v>17</v>
      </c>
      <c r="C370" s="8" t="s">
        <v>24</v>
      </c>
      <c r="D370" s="8" t="s">
        <v>34</v>
      </c>
      <c r="E370" s="7">
        <v>1283</v>
      </c>
      <c r="F370" s="8">
        <v>5</v>
      </c>
      <c r="G370" s="8">
        <v>300</v>
      </c>
      <c r="H370" s="8">
        <f t="shared" si="30"/>
        <v>391315</v>
      </c>
      <c r="I370" s="8">
        <v>30792</v>
      </c>
      <c r="J370" s="8">
        <f t="shared" si="31"/>
        <v>360523</v>
      </c>
      <c r="K370" s="8">
        <v>320750</v>
      </c>
      <c r="L370" s="8">
        <f t="shared" si="32"/>
        <v>39773</v>
      </c>
      <c r="M370" s="9">
        <v>41518</v>
      </c>
      <c r="N370" s="10">
        <f t="shared" si="33"/>
        <v>9</v>
      </c>
      <c r="O370" s="8" t="str">
        <f t="shared" si="34"/>
        <v>September</v>
      </c>
      <c r="P370" s="7">
        <f t="shared" si="35"/>
        <v>2013</v>
      </c>
    </row>
    <row r="371" spans="1:16" ht="15.75" customHeight="1" x14ac:dyDescent="0.3">
      <c r="A371" s="11" t="s">
        <v>21</v>
      </c>
      <c r="B371" s="11" t="s">
        <v>20</v>
      </c>
      <c r="C371" s="12" t="s">
        <v>24</v>
      </c>
      <c r="D371" s="12" t="s">
        <v>34</v>
      </c>
      <c r="E371" s="11">
        <v>711</v>
      </c>
      <c r="F371" s="12">
        <v>5</v>
      </c>
      <c r="G371" s="12">
        <v>15</v>
      </c>
      <c r="H371" s="8">
        <f t="shared" si="30"/>
        <v>14220</v>
      </c>
      <c r="I371" s="12">
        <v>853.2</v>
      </c>
      <c r="J371" s="8">
        <f t="shared" si="31"/>
        <v>13366.8</v>
      </c>
      <c r="K371" s="12">
        <v>7110</v>
      </c>
      <c r="L371" s="8">
        <f t="shared" si="32"/>
        <v>6256.7999999999993</v>
      </c>
      <c r="M371" s="13">
        <v>41974</v>
      </c>
      <c r="N371" s="10">
        <f t="shared" si="33"/>
        <v>12</v>
      </c>
      <c r="O371" s="8" t="str">
        <f t="shared" si="34"/>
        <v>December</v>
      </c>
      <c r="P371" s="7">
        <f t="shared" si="35"/>
        <v>2014</v>
      </c>
    </row>
    <row r="372" spans="1:16" ht="15.75" customHeight="1" x14ac:dyDescent="0.3">
      <c r="A372" s="7" t="s">
        <v>26</v>
      </c>
      <c r="B372" s="7" t="s">
        <v>23</v>
      </c>
      <c r="C372" s="8" t="s">
        <v>29</v>
      </c>
      <c r="D372" s="8" t="s">
        <v>34</v>
      </c>
      <c r="E372" s="7">
        <v>1114</v>
      </c>
      <c r="F372" s="8">
        <v>10</v>
      </c>
      <c r="G372" s="8">
        <v>125</v>
      </c>
      <c r="H372" s="8">
        <f t="shared" si="30"/>
        <v>150390</v>
      </c>
      <c r="I372" s="8">
        <v>11140</v>
      </c>
      <c r="J372" s="8">
        <f t="shared" si="31"/>
        <v>139250</v>
      </c>
      <c r="K372" s="8">
        <v>133680</v>
      </c>
      <c r="L372" s="8">
        <f t="shared" si="32"/>
        <v>5570</v>
      </c>
      <c r="M372" s="9">
        <v>41699</v>
      </c>
      <c r="N372" s="10">
        <f t="shared" si="33"/>
        <v>3</v>
      </c>
      <c r="O372" s="8" t="str">
        <f t="shared" si="34"/>
        <v>March</v>
      </c>
      <c r="P372" s="7">
        <f t="shared" si="35"/>
        <v>2014</v>
      </c>
    </row>
    <row r="373" spans="1:16" ht="15.75" customHeight="1" x14ac:dyDescent="0.3">
      <c r="A373" s="11" t="s">
        <v>16</v>
      </c>
      <c r="B373" s="11" t="s">
        <v>20</v>
      </c>
      <c r="C373" s="12" t="s">
        <v>29</v>
      </c>
      <c r="D373" s="12" t="s">
        <v>34</v>
      </c>
      <c r="E373" s="11">
        <v>1259</v>
      </c>
      <c r="F373" s="12">
        <v>10</v>
      </c>
      <c r="G373" s="12">
        <v>7</v>
      </c>
      <c r="H373" s="8">
        <f t="shared" si="30"/>
        <v>21403</v>
      </c>
      <c r="I373" s="12">
        <v>705.04</v>
      </c>
      <c r="J373" s="8">
        <f t="shared" si="31"/>
        <v>20697.96</v>
      </c>
      <c r="K373" s="12">
        <v>6295</v>
      </c>
      <c r="L373" s="8">
        <f t="shared" si="32"/>
        <v>14402.96</v>
      </c>
      <c r="M373" s="13">
        <v>41730</v>
      </c>
      <c r="N373" s="10">
        <f t="shared" si="33"/>
        <v>4</v>
      </c>
      <c r="O373" s="8" t="str">
        <f t="shared" si="34"/>
        <v>April</v>
      </c>
      <c r="P373" s="7">
        <f t="shared" si="35"/>
        <v>2014</v>
      </c>
    </row>
    <row r="374" spans="1:16" ht="15.75" customHeight="1" x14ac:dyDescent="0.3">
      <c r="A374" s="7" t="s">
        <v>16</v>
      </c>
      <c r="B374" s="7" t="s">
        <v>20</v>
      </c>
      <c r="C374" s="8" t="s">
        <v>29</v>
      </c>
      <c r="D374" s="8" t="s">
        <v>34</v>
      </c>
      <c r="E374" s="7">
        <v>1095</v>
      </c>
      <c r="F374" s="8">
        <v>10</v>
      </c>
      <c r="G374" s="8">
        <v>7</v>
      </c>
      <c r="H374" s="8">
        <f t="shared" si="30"/>
        <v>18615</v>
      </c>
      <c r="I374" s="8">
        <v>613.20000000000005</v>
      </c>
      <c r="J374" s="8">
        <f t="shared" si="31"/>
        <v>18001.8</v>
      </c>
      <c r="K374" s="8">
        <v>5475</v>
      </c>
      <c r="L374" s="8">
        <f t="shared" si="32"/>
        <v>12526.8</v>
      </c>
      <c r="M374" s="9">
        <v>41760</v>
      </c>
      <c r="N374" s="10">
        <f t="shared" si="33"/>
        <v>5</v>
      </c>
      <c r="O374" s="8" t="str">
        <f t="shared" si="34"/>
        <v>May</v>
      </c>
      <c r="P374" s="7">
        <f t="shared" si="35"/>
        <v>2014</v>
      </c>
    </row>
    <row r="375" spans="1:16" ht="15.75" customHeight="1" x14ac:dyDescent="0.3">
      <c r="A375" s="11" t="s">
        <v>16</v>
      </c>
      <c r="B375" s="11" t="s">
        <v>20</v>
      </c>
      <c r="C375" s="12" t="s">
        <v>29</v>
      </c>
      <c r="D375" s="12" t="s">
        <v>34</v>
      </c>
      <c r="E375" s="11">
        <v>1366</v>
      </c>
      <c r="F375" s="12">
        <v>10</v>
      </c>
      <c r="G375" s="12">
        <v>20</v>
      </c>
      <c r="H375" s="8">
        <f t="shared" si="30"/>
        <v>40980</v>
      </c>
      <c r="I375" s="12">
        <v>2185.6</v>
      </c>
      <c r="J375" s="8">
        <f t="shared" si="31"/>
        <v>38794.400000000001</v>
      </c>
      <c r="K375" s="12">
        <v>13660</v>
      </c>
      <c r="L375" s="8">
        <f t="shared" si="32"/>
        <v>25134.400000000001</v>
      </c>
      <c r="M375" s="13">
        <v>41791</v>
      </c>
      <c r="N375" s="10">
        <f t="shared" si="33"/>
        <v>6</v>
      </c>
      <c r="O375" s="8" t="str">
        <f t="shared" si="34"/>
        <v>June</v>
      </c>
      <c r="P375" s="7">
        <f t="shared" si="35"/>
        <v>2014</v>
      </c>
    </row>
    <row r="376" spans="1:16" ht="15.75" customHeight="1" x14ac:dyDescent="0.3">
      <c r="A376" s="7" t="s">
        <v>27</v>
      </c>
      <c r="B376" s="7" t="s">
        <v>23</v>
      </c>
      <c r="C376" s="8" t="s">
        <v>29</v>
      </c>
      <c r="D376" s="8" t="s">
        <v>34</v>
      </c>
      <c r="E376" s="7">
        <v>2460</v>
      </c>
      <c r="F376" s="8">
        <v>10</v>
      </c>
      <c r="G376" s="8">
        <v>300</v>
      </c>
      <c r="H376" s="8">
        <f t="shared" si="30"/>
        <v>762600</v>
      </c>
      <c r="I376" s="8">
        <v>59040</v>
      </c>
      <c r="J376" s="8">
        <f t="shared" si="31"/>
        <v>703560</v>
      </c>
      <c r="K376" s="8">
        <v>615000</v>
      </c>
      <c r="L376" s="8">
        <f t="shared" si="32"/>
        <v>88560</v>
      </c>
      <c r="M376" s="9">
        <v>41791</v>
      </c>
      <c r="N376" s="10">
        <f t="shared" si="33"/>
        <v>6</v>
      </c>
      <c r="O376" s="8" t="str">
        <f t="shared" si="34"/>
        <v>June</v>
      </c>
      <c r="P376" s="7">
        <f t="shared" si="35"/>
        <v>2014</v>
      </c>
    </row>
    <row r="377" spans="1:16" ht="15.75" customHeight="1" x14ac:dyDescent="0.3">
      <c r="A377" s="11" t="s">
        <v>16</v>
      </c>
      <c r="B377" s="11" t="s">
        <v>28</v>
      </c>
      <c r="C377" s="12" t="s">
        <v>29</v>
      </c>
      <c r="D377" s="12" t="s">
        <v>34</v>
      </c>
      <c r="E377" s="11">
        <v>678</v>
      </c>
      <c r="F377" s="12">
        <v>10</v>
      </c>
      <c r="G377" s="12">
        <v>7</v>
      </c>
      <c r="H377" s="8">
        <f t="shared" si="30"/>
        <v>11526</v>
      </c>
      <c r="I377" s="12">
        <v>379.68</v>
      </c>
      <c r="J377" s="8">
        <f t="shared" si="31"/>
        <v>11146.32</v>
      </c>
      <c r="K377" s="12">
        <v>3390</v>
      </c>
      <c r="L377" s="8">
        <f t="shared" si="32"/>
        <v>7756.32</v>
      </c>
      <c r="M377" s="13">
        <v>41852</v>
      </c>
      <c r="N377" s="10">
        <f t="shared" si="33"/>
        <v>8</v>
      </c>
      <c r="O377" s="8" t="str">
        <f t="shared" si="34"/>
        <v>August</v>
      </c>
      <c r="P377" s="7">
        <f t="shared" si="35"/>
        <v>2014</v>
      </c>
    </row>
    <row r="378" spans="1:16" ht="15.75" customHeight="1" x14ac:dyDescent="0.3">
      <c r="A378" s="7" t="s">
        <v>16</v>
      </c>
      <c r="B378" s="7" t="s">
        <v>20</v>
      </c>
      <c r="C378" s="8" t="s">
        <v>29</v>
      </c>
      <c r="D378" s="8" t="s">
        <v>34</v>
      </c>
      <c r="E378" s="7">
        <v>1598</v>
      </c>
      <c r="F378" s="8">
        <v>10</v>
      </c>
      <c r="G378" s="8">
        <v>7</v>
      </c>
      <c r="H378" s="8">
        <f t="shared" si="30"/>
        <v>27166</v>
      </c>
      <c r="I378" s="8">
        <v>894.88</v>
      </c>
      <c r="J378" s="8">
        <f t="shared" si="31"/>
        <v>26271.119999999999</v>
      </c>
      <c r="K378" s="8">
        <v>7990</v>
      </c>
      <c r="L378" s="8">
        <f t="shared" si="32"/>
        <v>18281.12</v>
      </c>
      <c r="M378" s="9">
        <v>41852</v>
      </c>
      <c r="N378" s="10">
        <f t="shared" si="33"/>
        <v>8</v>
      </c>
      <c r="O378" s="8" t="str">
        <f t="shared" si="34"/>
        <v>August</v>
      </c>
      <c r="P378" s="7">
        <f t="shared" si="35"/>
        <v>2014</v>
      </c>
    </row>
    <row r="379" spans="1:16" ht="15.75" customHeight="1" x14ac:dyDescent="0.3">
      <c r="A379" s="11" t="s">
        <v>16</v>
      </c>
      <c r="B379" s="11" t="s">
        <v>20</v>
      </c>
      <c r="C379" s="12" t="s">
        <v>29</v>
      </c>
      <c r="D379" s="12" t="s">
        <v>34</v>
      </c>
      <c r="E379" s="11">
        <v>2409</v>
      </c>
      <c r="F379" s="12">
        <v>10</v>
      </c>
      <c r="G379" s="12">
        <v>7</v>
      </c>
      <c r="H379" s="8">
        <f t="shared" si="30"/>
        <v>40953</v>
      </c>
      <c r="I379" s="12">
        <v>1349.04</v>
      </c>
      <c r="J379" s="8">
        <f t="shared" si="31"/>
        <v>39603.96</v>
      </c>
      <c r="K379" s="12">
        <v>12045</v>
      </c>
      <c r="L379" s="8">
        <f t="shared" si="32"/>
        <v>27558.959999999999</v>
      </c>
      <c r="M379" s="13">
        <v>41518</v>
      </c>
      <c r="N379" s="10">
        <f t="shared" si="33"/>
        <v>9</v>
      </c>
      <c r="O379" s="8" t="str">
        <f t="shared" si="34"/>
        <v>September</v>
      </c>
      <c r="P379" s="7">
        <f t="shared" si="35"/>
        <v>2013</v>
      </c>
    </row>
    <row r="380" spans="1:16" ht="15.75" customHeight="1" x14ac:dyDescent="0.3">
      <c r="A380" s="7" t="s">
        <v>16</v>
      </c>
      <c r="B380" s="7" t="s">
        <v>20</v>
      </c>
      <c r="C380" s="8" t="s">
        <v>29</v>
      </c>
      <c r="D380" s="8" t="s">
        <v>34</v>
      </c>
      <c r="E380" s="7">
        <v>1934</v>
      </c>
      <c r="F380" s="8">
        <v>10</v>
      </c>
      <c r="G380" s="8">
        <v>20</v>
      </c>
      <c r="H380" s="8">
        <f t="shared" si="30"/>
        <v>58020</v>
      </c>
      <c r="I380" s="8">
        <v>3094.4</v>
      </c>
      <c r="J380" s="8">
        <f t="shared" si="31"/>
        <v>54925.599999999999</v>
      </c>
      <c r="K380" s="8">
        <v>19340</v>
      </c>
      <c r="L380" s="8">
        <f t="shared" si="32"/>
        <v>35585.599999999999</v>
      </c>
      <c r="M380" s="9">
        <v>41883</v>
      </c>
      <c r="N380" s="10">
        <f t="shared" si="33"/>
        <v>9</v>
      </c>
      <c r="O380" s="8" t="str">
        <f t="shared" si="34"/>
        <v>September</v>
      </c>
      <c r="P380" s="7">
        <f t="shared" si="35"/>
        <v>2014</v>
      </c>
    </row>
    <row r="381" spans="1:16" ht="15.75" customHeight="1" x14ac:dyDescent="0.3">
      <c r="A381" s="11" t="s">
        <v>16</v>
      </c>
      <c r="B381" s="11" t="s">
        <v>23</v>
      </c>
      <c r="C381" s="12" t="s">
        <v>29</v>
      </c>
      <c r="D381" s="12" t="s">
        <v>34</v>
      </c>
      <c r="E381" s="11">
        <v>2993</v>
      </c>
      <c r="F381" s="12">
        <v>10</v>
      </c>
      <c r="G381" s="12">
        <v>20</v>
      </c>
      <c r="H381" s="8">
        <f t="shared" si="30"/>
        <v>89790</v>
      </c>
      <c r="I381" s="12">
        <v>4788.8</v>
      </c>
      <c r="J381" s="8">
        <f t="shared" si="31"/>
        <v>85001.2</v>
      </c>
      <c r="K381" s="12">
        <v>29930</v>
      </c>
      <c r="L381" s="8">
        <f t="shared" si="32"/>
        <v>55071.199999999997</v>
      </c>
      <c r="M381" s="13">
        <v>41883</v>
      </c>
      <c r="N381" s="10">
        <f t="shared" si="33"/>
        <v>9</v>
      </c>
      <c r="O381" s="8" t="str">
        <f t="shared" si="34"/>
        <v>September</v>
      </c>
      <c r="P381" s="7">
        <f t="shared" si="35"/>
        <v>2014</v>
      </c>
    </row>
    <row r="382" spans="1:16" ht="15.75" customHeight="1" x14ac:dyDescent="0.3">
      <c r="A382" s="7" t="s">
        <v>16</v>
      </c>
      <c r="B382" s="7" t="s">
        <v>20</v>
      </c>
      <c r="C382" s="8" t="s">
        <v>29</v>
      </c>
      <c r="D382" s="8" t="s">
        <v>34</v>
      </c>
      <c r="E382" s="7">
        <v>2146</v>
      </c>
      <c r="F382" s="8">
        <v>10</v>
      </c>
      <c r="G382" s="8">
        <v>350</v>
      </c>
      <c r="H382" s="8">
        <f t="shared" si="30"/>
        <v>772560</v>
      </c>
      <c r="I382" s="8">
        <v>60088</v>
      </c>
      <c r="J382" s="8">
        <f t="shared" si="31"/>
        <v>712472</v>
      </c>
      <c r="K382" s="8">
        <v>557960</v>
      </c>
      <c r="L382" s="8">
        <f t="shared" si="32"/>
        <v>154512</v>
      </c>
      <c r="M382" s="9">
        <v>41579</v>
      </c>
      <c r="N382" s="10">
        <f t="shared" si="33"/>
        <v>11</v>
      </c>
      <c r="O382" s="8" t="str">
        <f t="shared" si="34"/>
        <v>November</v>
      </c>
      <c r="P382" s="7">
        <f t="shared" si="35"/>
        <v>2013</v>
      </c>
    </row>
    <row r="383" spans="1:16" ht="15.75" customHeight="1" x14ac:dyDescent="0.3">
      <c r="A383" s="11" t="s">
        <v>16</v>
      </c>
      <c r="B383" s="11" t="s">
        <v>23</v>
      </c>
      <c r="C383" s="12" t="s">
        <v>29</v>
      </c>
      <c r="D383" s="12" t="s">
        <v>34</v>
      </c>
      <c r="E383" s="11">
        <v>1946</v>
      </c>
      <c r="F383" s="12">
        <v>10</v>
      </c>
      <c r="G383" s="12">
        <v>7</v>
      </c>
      <c r="H383" s="8">
        <f t="shared" si="30"/>
        <v>33082</v>
      </c>
      <c r="I383" s="12">
        <v>1089.76</v>
      </c>
      <c r="J383" s="8">
        <f t="shared" si="31"/>
        <v>31992.240000000002</v>
      </c>
      <c r="K383" s="12">
        <v>9730</v>
      </c>
      <c r="L383" s="8">
        <f t="shared" si="32"/>
        <v>22262.240000000002</v>
      </c>
      <c r="M383" s="13">
        <v>41609</v>
      </c>
      <c r="N383" s="10">
        <f t="shared" si="33"/>
        <v>12</v>
      </c>
      <c r="O383" s="8" t="str">
        <f t="shared" si="34"/>
        <v>December</v>
      </c>
      <c r="P383" s="7">
        <f t="shared" si="35"/>
        <v>2013</v>
      </c>
    </row>
    <row r="384" spans="1:16" ht="15.75" customHeight="1" x14ac:dyDescent="0.3">
      <c r="A384" s="7" t="s">
        <v>16</v>
      </c>
      <c r="B384" s="7" t="s">
        <v>23</v>
      </c>
      <c r="C384" s="8" t="s">
        <v>29</v>
      </c>
      <c r="D384" s="8" t="s">
        <v>34</v>
      </c>
      <c r="E384" s="7">
        <v>1362</v>
      </c>
      <c r="F384" s="8">
        <v>10</v>
      </c>
      <c r="G384" s="8">
        <v>350</v>
      </c>
      <c r="H384" s="8">
        <f t="shared" si="30"/>
        <v>490320</v>
      </c>
      <c r="I384" s="8">
        <v>38136</v>
      </c>
      <c r="J384" s="8">
        <f t="shared" si="31"/>
        <v>452184</v>
      </c>
      <c r="K384" s="8">
        <v>354120</v>
      </c>
      <c r="L384" s="8">
        <f t="shared" si="32"/>
        <v>98064</v>
      </c>
      <c r="M384" s="9">
        <v>41974</v>
      </c>
      <c r="N384" s="10">
        <f t="shared" si="33"/>
        <v>12</v>
      </c>
      <c r="O384" s="8" t="str">
        <f t="shared" si="34"/>
        <v>December</v>
      </c>
      <c r="P384" s="7">
        <f t="shared" si="35"/>
        <v>2014</v>
      </c>
    </row>
    <row r="385" spans="1:16" ht="15.75" customHeight="1" x14ac:dyDescent="0.3">
      <c r="A385" s="11" t="s">
        <v>25</v>
      </c>
      <c r="B385" s="11" t="s">
        <v>17</v>
      </c>
      <c r="C385" s="12" t="s">
        <v>30</v>
      </c>
      <c r="D385" s="12" t="s">
        <v>34</v>
      </c>
      <c r="E385" s="11">
        <v>598</v>
      </c>
      <c r="F385" s="12">
        <v>120</v>
      </c>
      <c r="G385" s="12">
        <v>12</v>
      </c>
      <c r="H385" s="8">
        <f t="shared" si="30"/>
        <v>78936</v>
      </c>
      <c r="I385" s="12">
        <v>574.08000000000004</v>
      </c>
      <c r="J385" s="8">
        <f t="shared" si="31"/>
        <v>78361.919999999998</v>
      </c>
      <c r="K385" s="12">
        <v>1794</v>
      </c>
      <c r="L385" s="8">
        <f t="shared" si="32"/>
        <v>76567.92</v>
      </c>
      <c r="M385" s="13">
        <v>41699</v>
      </c>
      <c r="N385" s="10">
        <f t="shared" si="33"/>
        <v>3</v>
      </c>
      <c r="O385" s="8" t="str">
        <f t="shared" si="34"/>
        <v>March</v>
      </c>
      <c r="P385" s="7">
        <f t="shared" si="35"/>
        <v>2014</v>
      </c>
    </row>
    <row r="386" spans="1:16" ht="15.75" customHeight="1" x14ac:dyDescent="0.3">
      <c r="A386" s="7" t="s">
        <v>16</v>
      </c>
      <c r="B386" s="7" t="s">
        <v>28</v>
      </c>
      <c r="C386" s="8" t="s">
        <v>30</v>
      </c>
      <c r="D386" s="8" t="s">
        <v>34</v>
      </c>
      <c r="E386" s="7">
        <v>2907</v>
      </c>
      <c r="F386" s="8">
        <v>120</v>
      </c>
      <c r="G386" s="8">
        <v>7</v>
      </c>
      <c r="H386" s="8">
        <f t="shared" si="30"/>
        <v>369189</v>
      </c>
      <c r="I386" s="8">
        <v>1627.92</v>
      </c>
      <c r="J386" s="8">
        <f t="shared" si="31"/>
        <v>367561.08</v>
      </c>
      <c r="K386" s="8">
        <v>14535</v>
      </c>
      <c r="L386" s="8">
        <f t="shared" si="32"/>
        <v>353026.08</v>
      </c>
      <c r="M386" s="9">
        <v>41791</v>
      </c>
      <c r="N386" s="10">
        <f t="shared" si="33"/>
        <v>6</v>
      </c>
      <c r="O386" s="8" t="str">
        <f t="shared" si="34"/>
        <v>June</v>
      </c>
      <c r="P386" s="7">
        <f t="shared" si="35"/>
        <v>2014</v>
      </c>
    </row>
    <row r="387" spans="1:16" ht="15.75" customHeight="1" x14ac:dyDescent="0.3">
      <c r="A387" s="11" t="s">
        <v>16</v>
      </c>
      <c r="B387" s="11" t="s">
        <v>20</v>
      </c>
      <c r="C387" s="12" t="s">
        <v>30</v>
      </c>
      <c r="D387" s="12" t="s">
        <v>34</v>
      </c>
      <c r="E387" s="11">
        <v>2338</v>
      </c>
      <c r="F387" s="12">
        <v>120</v>
      </c>
      <c r="G387" s="12">
        <v>7</v>
      </c>
      <c r="H387" s="8">
        <f t="shared" ref="H387:H450" si="36">E387*(F387+G387)</f>
        <v>296926</v>
      </c>
      <c r="I387" s="12">
        <v>1309.28</v>
      </c>
      <c r="J387" s="8">
        <f t="shared" ref="J387:J450" si="37">H387-I387</f>
        <v>295616.71999999997</v>
      </c>
      <c r="K387" s="12">
        <v>11690</v>
      </c>
      <c r="L387" s="8">
        <f t="shared" ref="L387:L450" si="38">J387-K387</f>
        <v>283926.71999999997</v>
      </c>
      <c r="M387" s="13">
        <v>41791</v>
      </c>
      <c r="N387" s="10">
        <f t="shared" ref="N387:N450" si="39">MONTH(M387)</f>
        <v>6</v>
      </c>
      <c r="O387" s="8" t="str">
        <f t="shared" ref="O387:O450" si="40">TEXT(M387,"MMMM")</f>
        <v>June</v>
      </c>
      <c r="P387" s="7">
        <f t="shared" ref="P387:P450" si="41">YEAR(M387)</f>
        <v>2014</v>
      </c>
    </row>
    <row r="388" spans="1:16" ht="15.75" customHeight="1" x14ac:dyDescent="0.3">
      <c r="A388" s="7" t="s">
        <v>27</v>
      </c>
      <c r="B388" s="7" t="s">
        <v>22</v>
      </c>
      <c r="C388" s="8" t="s">
        <v>30</v>
      </c>
      <c r="D388" s="8" t="s">
        <v>34</v>
      </c>
      <c r="E388" s="7">
        <v>386</v>
      </c>
      <c r="F388" s="8">
        <v>120</v>
      </c>
      <c r="G388" s="8">
        <v>300</v>
      </c>
      <c r="H388" s="8">
        <f t="shared" si="36"/>
        <v>162120</v>
      </c>
      <c r="I388" s="8">
        <v>9264</v>
      </c>
      <c r="J388" s="8">
        <f t="shared" si="37"/>
        <v>152856</v>
      </c>
      <c r="K388" s="8">
        <v>96500</v>
      </c>
      <c r="L388" s="8">
        <f t="shared" si="38"/>
        <v>56356</v>
      </c>
      <c r="M388" s="9">
        <v>41579</v>
      </c>
      <c r="N388" s="10">
        <f t="shared" si="39"/>
        <v>11</v>
      </c>
      <c r="O388" s="8" t="str">
        <f t="shared" si="40"/>
        <v>November</v>
      </c>
      <c r="P388" s="7">
        <f t="shared" si="41"/>
        <v>2013</v>
      </c>
    </row>
    <row r="389" spans="1:16" ht="15.75" customHeight="1" x14ac:dyDescent="0.3">
      <c r="A389" s="11" t="s">
        <v>27</v>
      </c>
      <c r="B389" s="11" t="s">
        <v>23</v>
      </c>
      <c r="C389" s="12" t="s">
        <v>30</v>
      </c>
      <c r="D389" s="12" t="s">
        <v>34</v>
      </c>
      <c r="E389" s="11">
        <v>635</v>
      </c>
      <c r="F389" s="12">
        <v>120</v>
      </c>
      <c r="G389" s="12">
        <v>300</v>
      </c>
      <c r="H389" s="8">
        <f t="shared" si="36"/>
        <v>266700</v>
      </c>
      <c r="I389" s="12">
        <v>15240</v>
      </c>
      <c r="J389" s="8">
        <f t="shared" si="37"/>
        <v>251460</v>
      </c>
      <c r="K389" s="12">
        <v>158750</v>
      </c>
      <c r="L389" s="8">
        <f t="shared" si="38"/>
        <v>92710</v>
      </c>
      <c r="M389" s="13">
        <v>41974</v>
      </c>
      <c r="N389" s="10">
        <f t="shared" si="39"/>
        <v>12</v>
      </c>
      <c r="O389" s="8" t="str">
        <f t="shared" si="40"/>
        <v>December</v>
      </c>
      <c r="P389" s="7">
        <f t="shared" si="41"/>
        <v>2014</v>
      </c>
    </row>
    <row r="390" spans="1:16" ht="15.75" customHeight="1" x14ac:dyDescent="0.3">
      <c r="A390" s="7" t="s">
        <v>16</v>
      </c>
      <c r="B390" s="7" t="s">
        <v>22</v>
      </c>
      <c r="C390" s="8" t="s">
        <v>31</v>
      </c>
      <c r="D390" s="8" t="s">
        <v>34</v>
      </c>
      <c r="E390" s="7">
        <v>574.5</v>
      </c>
      <c r="F390" s="8">
        <v>250</v>
      </c>
      <c r="G390" s="8">
        <v>350</v>
      </c>
      <c r="H390" s="8">
        <f t="shared" si="36"/>
        <v>344700</v>
      </c>
      <c r="I390" s="8">
        <v>16086</v>
      </c>
      <c r="J390" s="8">
        <f t="shared" si="37"/>
        <v>328614</v>
      </c>
      <c r="K390" s="8">
        <v>149370</v>
      </c>
      <c r="L390" s="8">
        <f t="shared" si="38"/>
        <v>179244</v>
      </c>
      <c r="M390" s="9">
        <v>41730</v>
      </c>
      <c r="N390" s="10">
        <f t="shared" si="39"/>
        <v>4</v>
      </c>
      <c r="O390" s="8" t="str">
        <f t="shared" si="40"/>
        <v>April</v>
      </c>
      <c r="P390" s="7">
        <f t="shared" si="41"/>
        <v>2014</v>
      </c>
    </row>
    <row r="391" spans="1:16" ht="15.75" customHeight="1" x14ac:dyDescent="0.3">
      <c r="A391" s="11" t="s">
        <v>16</v>
      </c>
      <c r="B391" s="11" t="s">
        <v>20</v>
      </c>
      <c r="C391" s="12" t="s">
        <v>31</v>
      </c>
      <c r="D391" s="12" t="s">
        <v>34</v>
      </c>
      <c r="E391" s="11">
        <v>2338</v>
      </c>
      <c r="F391" s="12">
        <v>250</v>
      </c>
      <c r="G391" s="12">
        <v>7</v>
      </c>
      <c r="H391" s="8">
        <f t="shared" si="36"/>
        <v>600866</v>
      </c>
      <c r="I391" s="12">
        <v>1309.28</v>
      </c>
      <c r="J391" s="8">
        <f t="shared" si="37"/>
        <v>599556.72</v>
      </c>
      <c r="K391" s="12">
        <v>11690</v>
      </c>
      <c r="L391" s="8">
        <f t="shared" si="38"/>
        <v>587866.72</v>
      </c>
      <c r="M391" s="13">
        <v>41791</v>
      </c>
      <c r="N391" s="10">
        <f t="shared" si="39"/>
        <v>6</v>
      </c>
      <c r="O391" s="8" t="str">
        <f t="shared" si="40"/>
        <v>June</v>
      </c>
      <c r="P391" s="7">
        <f t="shared" si="41"/>
        <v>2014</v>
      </c>
    </row>
    <row r="392" spans="1:16" ht="15.75" customHeight="1" x14ac:dyDescent="0.3">
      <c r="A392" s="7" t="s">
        <v>16</v>
      </c>
      <c r="B392" s="7" t="s">
        <v>22</v>
      </c>
      <c r="C392" s="8" t="s">
        <v>31</v>
      </c>
      <c r="D392" s="8" t="s">
        <v>34</v>
      </c>
      <c r="E392" s="7">
        <v>381</v>
      </c>
      <c r="F392" s="8">
        <v>250</v>
      </c>
      <c r="G392" s="8">
        <v>350</v>
      </c>
      <c r="H392" s="8">
        <f t="shared" si="36"/>
        <v>228600</v>
      </c>
      <c r="I392" s="8">
        <v>10668</v>
      </c>
      <c r="J392" s="8">
        <f t="shared" si="37"/>
        <v>217932</v>
      </c>
      <c r="K392" s="8">
        <v>99060</v>
      </c>
      <c r="L392" s="8">
        <f t="shared" si="38"/>
        <v>118872</v>
      </c>
      <c r="M392" s="9">
        <v>41852</v>
      </c>
      <c r="N392" s="10">
        <f t="shared" si="39"/>
        <v>8</v>
      </c>
      <c r="O392" s="8" t="str">
        <f t="shared" si="40"/>
        <v>August</v>
      </c>
      <c r="P392" s="7">
        <f t="shared" si="41"/>
        <v>2014</v>
      </c>
    </row>
    <row r="393" spans="1:16" ht="15.75" customHeight="1" x14ac:dyDescent="0.3">
      <c r="A393" s="11" t="s">
        <v>16</v>
      </c>
      <c r="B393" s="11" t="s">
        <v>20</v>
      </c>
      <c r="C393" s="12" t="s">
        <v>31</v>
      </c>
      <c r="D393" s="12" t="s">
        <v>34</v>
      </c>
      <c r="E393" s="11">
        <v>422</v>
      </c>
      <c r="F393" s="12">
        <v>250</v>
      </c>
      <c r="G393" s="12">
        <v>350</v>
      </c>
      <c r="H393" s="8">
        <f t="shared" si="36"/>
        <v>253200</v>
      </c>
      <c r="I393" s="12">
        <v>11816</v>
      </c>
      <c r="J393" s="8">
        <f t="shared" si="37"/>
        <v>241384</v>
      </c>
      <c r="K393" s="12">
        <v>109720</v>
      </c>
      <c r="L393" s="8">
        <f t="shared" si="38"/>
        <v>131664</v>
      </c>
      <c r="M393" s="13">
        <v>41852</v>
      </c>
      <c r="N393" s="10">
        <f t="shared" si="39"/>
        <v>8</v>
      </c>
      <c r="O393" s="8" t="str">
        <f t="shared" si="40"/>
        <v>August</v>
      </c>
      <c r="P393" s="7">
        <f t="shared" si="41"/>
        <v>2014</v>
      </c>
    </row>
    <row r="394" spans="1:16" ht="15.75" customHeight="1" x14ac:dyDescent="0.3">
      <c r="A394" s="7" t="s">
        <v>27</v>
      </c>
      <c r="B394" s="7" t="s">
        <v>17</v>
      </c>
      <c r="C394" s="8" t="s">
        <v>31</v>
      </c>
      <c r="D394" s="8" t="s">
        <v>34</v>
      </c>
      <c r="E394" s="7">
        <v>2134</v>
      </c>
      <c r="F394" s="8">
        <v>250</v>
      </c>
      <c r="G394" s="8">
        <v>300</v>
      </c>
      <c r="H394" s="8">
        <f t="shared" si="36"/>
        <v>1173700</v>
      </c>
      <c r="I394" s="8">
        <v>51216</v>
      </c>
      <c r="J394" s="8">
        <f t="shared" si="37"/>
        <v>1122484</v>
      </c>
      <c r="K394" s="8">
        <v>533500</v>
      </c>
      <c r="L394" s="8">
        <f t="shared" si="38"/>
        <v>588984</v>
      </c>
      <c r="M394" s="9">
        <v>41883</v>
      </c>
      <c r="N394" s="10">
        <f t="shared" si="39"/>
        <v>9</v>
      </c>
      <c r="O394" s="8" t="str">
        <f t="shared" si="40"/>
        <v>September</v>
      </c>
      <c r="P394" s="7">
        <f t="shared" si="41"/>
        <v>2014</v>
      </c>
    </row>
    <row r="395" spans="1:16" ht="15.75" customHeight="1" x14ac:dyDescent="0.3">
      <c r="A395" s="11" t="s">
        <v>27</v>
      </c>
      <c r="B395" s="11" t="s">
        <v>28</v>
      </c>
      <c r="C395" s="12" t="s">
        <v>31</v>
      </c>
      <c r="D395" s="12" t="s">
        <v>34</v>
      </c>
      <c r="E395" s="11">
        <v>808</v>
      </c>
      <c r="F395" s="12">
        <v>250</v>
      </c>
      <c r="G395" s="12">
        <v>300</v>
      </c>
      <c r="H395" s="8">
        <f t="shared" si="36"/>
        <v>444400</v>
      </c>
      <c r="I395" s="12">
        <v>19392</v>
      </c>
      <c r="J395" s="8">
        <f t="shared" si="37"/>
        <v>425008</v>
      </c>
      <c r="K395" s="12">
        <v>202000</v>
      </c>
      <c r="L395" s="8">
        <f t="shared" si="38"/>
        <v>223008</v>
      </c>
      <c r="M395" s="13">
        <v>41609</v>
      </c>
      <c r="N395" s="10">
        <f t="shared" si="39"/>
        <v>12</v>
      </c>
      <c r="O395" s="8" t="str">
        <f t="shared" si="40"/>
        <v>December</v>
      </c>
      <c r="P395" s="7">
        <f t="shared" si="41"/>
        <v>2013</v>
      </c>
    </row>
    <row r="396" spans="1:16" ht="15.75" customHeight="1" x14ac:dyDescent="0.3">
      <c r="A396" s="7" t="s">
        <v>16</v>
      </c>
      <c r="B396" s="7" t="s">
        <v>17</v>
      </c>
      <c r="C396" s="8" t="s">
        <v>32</v>
      </c>
      <c r="D396" s="8" t="s">
        <v>34</v>
      </c>
      <c r="E396" s="7">
        <v>708</v>
      </c>
      <c r="F396" s="8">
        <v>260</v>
      </c>
      <c r="G396" s="8">
        <v>20</v>
      </c>
      <c r="H396" s="8">
        <f t="shared" si="36"/>
        <v>198240</v>
      </c>
      <c r="I396" s="8">
        <v>1132.8</v>
      </c>
      <c r="J396" s="8">
        <f t="shared" si="37"/>
        <v>197107.20000000001</v>
      </c>
      <c r="K396" s="8">
        <v>7080</v>
      </c>
      <c r="L396" s="8">
        <f t="shared" si="38"/>
        <v>190027.2</v>
      </c>
      <c r="M396" s="9">
        <v>41791</v>
      </c>
      <c r="N396" s="10">
        <f t="shared" si="39"/>
        <v>6</v>
      </c>
      <c r="O396" s="8" t="str">
        <f t="shared" si="40"/>
        <v>June</v>
      </c>
      <c r="P396" s="7">
        <f t="shared" si="41"/>
        <v>2014</v>
      </c>
    </row>
    <row r="397" spans="1:16" ht="15.75" customHeight="1" x14ac:dyDescent="0.3">
      <c r="A397" s="11" t="s">
        <v>16</v>
      </c>
      <c r="B397" s="11" t="s">
        <v>28</v>
      </c>
      <c r="C397" s="12" t="s">
        <v>32</v>
      </c>
      <c r="D397" s="12" t="s">
        <v>34</v>
      </c>
      <c r="E397" s="11">
        <v>2907</v>
      </c>
      <c r="F397" s="12">
        <v>260</v>
      </c>
      <c r="G397" s="12">
        <v>7</v>
      </c>
      <c r="H397" s="8">
        <f t="shared" si="36"/>
        <v>776169</v>
      </c>
      <c r="I397" s="12">
        <v>1627.92</v>
      </c>
      <c r="J397" s="8">
        <f t="shared" si="37"/>
        <v>774541.08</v>
      </c>
      <c r="K397" s="12">
        <v>14535</v>
      </c>
      <c r="L397" s="8">
        <f t="shared" si="38"/>
        <v>760006.08</v>
      </c>
      <c r="M397" s="13">
        <v>41791</v>
      </c>
      <c r="N397" s="10">
        <f t="shared" si="39"/>
        <v>6</v>
      </c>
      <c r="O397" s="8" t="str">
        <f t="shared" si="40"/>
        <v>June</v>
      </c>
      <c r="P397" s="7">
        <f t="shared" si="41"/>
        <v>2014</v>
      </c>
    </row>
    <row r="398" spans="1:16" ht="15.75" customHeight="1" x14ac:dyDescent="0.3">
      <c r="A398" s="7" t="s">
        <v>16</v>
      </c>
      <c r="B398" s="7" t="s">
        <v>20</v>
      </c>
      <c r="C398" s="8" t="s">
        <v>32</v>
      </c>
      <c r="D398" s="8" t="s">
        <v>34</v>
      </c>
      <c r="E398" s="7">
        <v>1366</v>
      </c>
      <c r="F398" s="8">
        <v>260</v>
      </c>
      <c r="G398" s="8">
        <v>20</v>
      </c>
      <c r="H398" s="8">
        <f t="shared" si="36"/>
        <v>382480</v>
      </c>
      <c r="I398" s="8">
        <v>2185.6</v>
      </c>
      <c r="J398" s="8">
        <f t="shared" si="37"/>
        <v>380294.40000000002</v>
      </c>
      <c r="K398" s="8">
        <v>13660</v>
      </c>
      <c r="L398" s="8">
        <f t="shared" si="38"/>
        <v>366634.4</v>
      </c>
      <c r="M398" s="9">
        <v>41791</v>
      </c>
      <c r="N398" s="10">
        <f t="shared" si="39"/>
        <v>6</v>
      </c>
      <c r="O398" s="8" t="str">
        <f t="shared" si="40"/>
        <v>June</v>
      </c>
      <c r="P398" s="7">
        <f t="shared" si="41"/>
        <v>2014</v>
      </c>
    </row>
    <row r="399" spans="1:16" ht="15.75" customHeight="1" x14ac:dyDescent="0.3">
      <c r="A399" s="11" t="s">
        <v>27</v>
      </c>
      <c r="B399" s="11" t="s">
        <v>23</v>
      </c>
      <c r="C399" s="12" t="s">
        <v>32</v>
      </c>
      <c r="D399" s="12" t="s">
        <v>34</v>
      </c>
      <c r="E399" s="11">
        <v>2460</v>
      </c>
      <c r="F399" s="12">
        <v>260</v>
      </c>
      <c r="G399" s="12">
        <v>300</v>
      </c>
      <c r="H399" s="8">
        <f t="shared" si="36"/>
        <v>1377600</v>
      </c>
      <c r="I399" s="12">
        <v>59040</v>
      </c>
      <c r="J399" s="8">
        <f t="shared" si="37"/>
        <v>1318560</v>
      </c>
      <c r="K399" s="12">
        <v>615000</v>
      </c>
      <c r="L399" s="8">
        <f t="shared" si="38"/>
        <v>703560</v>
      </c>
      <c r="M399" s="13">
        <v>41791</v>
      </c>
      <c r="N399" s="10">
        <f t="shared" si="39"/>
        <v>6</v>
      </c>
      <c r="O399" s="8" t="str">
        <f t="shared" si="40"/>
        <v>June</v>
      </c>
      <c r="P399" s="7">
        <f t="shared" si="41"/>
        <v>2014</v>
      </c>
    </row>
    <row r="400" spans="1:16" ht="15.75" customHeight="1" x14ac:dyDescent="0.3">
      <c r="A400" s="7" t="s">
        <v>16</v>
      </c>
      <c r="B400" s="7" t="s">
        <v>20</v>
      </c>
      <c r="C400" s="8" t="s">
        <v>32</v>
      </c>
      <c r="D400" s="8" t="s">
        <v>34</v>
      </c>
      <c r="E400" s="7">
        <v>1520</v>
      </c>
      <c r="F400" s="8">
        <v>260</v>
      </c>
      <c r="G400" s="8">
        <v>20</v>
      </c>
      <c r="H400" s="8">
        <f t="shared" si="36"/>
        <v>425600</v>
      </c>
      <c r="I400" s="8">
        <v>2432</v>
      </c>
      <c r="J400" s="8">
        <f t="shared" si="37"/>
        <v>423168</v>
      </c>
      <c r="K400" s="8">
        <v>15200</v>
      </c>
      <c r="L400" s="8">
        <f t="shared" si="38"/>
        <v>407968</v>
      </c>
      <c r="M400" s="9">
        <v>41944</v>
      </c>
      <c r="N400" s="10">
        <f t="shared" si="39"/>
        <v>11</v>
      </c>
      <c r="O400" s="8" t="str">
        <f t="shared" si="40"/>
        <v>November</v>
      </c>
      <c r="P400" s="7">
        <f t="shared" si="41"/>
        <v>2014</v>
      </c>
    </row>
    <row r="401" spans="1:16" ht="15.75" customHeight="1" x14ac:dyDescent="0.3">
      <c r="A401" s="11" t="s">
        <v>21</v>
      </c>
      <c r="B401" s="11" t="s">
        <v>20</v>
      </c>
      <c r="C401" s="12" t="s">
        <v>32</v>
      </c>
      <c r="D401" s="12" t="s">
        <v>34</v>
      </c>
      <c r="E401" s="11">
        <v>711</v>
      </c>
      <c r="F401" s="12">
        <v>260</v>
      </c>
      <c r="G401" s="12">
        <v>15</v>
      </c>
      <c r="H401" s="8">
        <f t="shared" si="36"/>
        <v>195525</v>
      </c>
      <c r="I401" s="12">
        <v>853.2</v>
      </c>
      <c r="J401" s="8">
        <f t="shared" si="37"/>
        <v>194671.8</v>
      </c>
      <c r="K401" s="12">
        <v>7110</v>
      </c>
      <c r="L401" s="8">
        <f t="shared" si="38"/>
        <v>187561.8</v>
      </c>
      <c r="M401" s="13">
        <v>41974</v>
      </c>
      <c r="N401" s="10">
        <f t="shared" si="39"/>
        <v>12</v>
      </c>
      <c r="O401" s="8" t="str">
        <f t="shared" si="40"/>
        <v>December</v>
      </c>
      <c r="P401" s="7">
        <f t="shared" si="41"/>
        <v>2014</v>
      </c>
    </row>
    <row r="402" spans="1:16" ht="15.75" customHeight="1" x14ac:dyDescent="0.3">
      <c r="A402" s="7" t="s">
        <v>25</v>
      </c>
      <c r="B402" s="7" t="s">
        <v>23</v>
      </c>
      <c r="C402" s="8" t="s">
        <v>32</v>
      </c>
      <c r="D402" s="8" t="s">
        <v>34</v>
      </c>
      <c r="E402" s="7">
        <v>1375</v>
      </c>
      <c r="F402" s="8">
        <v>260</v>
      </c>
      <c r="G402" s="8">
        <v>12</v>
      </c>
      <c r="H402" s="8">
        <f t="shared" si="36"/>
        <v>374000</v>
      </c>
      <c r="I402" s="8">
        <v>1320</v>
      </c>
      <c r="J402" s="8">
        <f t="shared" si="37"/>
        <v>372680</v>
      </c>
      <c r="K402" s="8">
        <v>4125</v>
      </c>
      <c r="L402" s="8">
        <f t="shared" si="38"/>
        <v>368555</v>
      </c>
      <c r="M402" s="9">
        <v>41609</v>
      </c>
      <c r="N402" s="10">
        <f t="shared" si="39"/>
        <v>12</v>
      </c>
      <c r="O402" s="8" t="str">
        <f t="shared" si="40"/>
        <v>December</v>
      </c>
      <c r="P402" s="7">
        <f t="shared" si="41"/>
        <v>2013</v>
      </c>
    </row>
    <row r="403" spans="1:16" ht="15.75" customHeight="1" x14ac:dyDescent="0.3">
      <c r="A403" s="11" t="s">
        <v>27</v>
      </c>
      <c r="B403" s="11" t="s">
        <v>23</v>
      </c>
      <c r="C403" s="12" t="s">
        <v>32</v>
      </c>
      <c r="D403" s="12" t="s">
        <v>34</v>
      </c>
      <c r="E403" s="11">
        <v>635</v>
      </c>
      <c r="F403" s="12">
        <v>260</v>
      </c>
      <c r="G403" s="12">
        <v>300</v>
      </c>
      <c r="H403" s="8">
        <f t="shared" si="36"/>
        <v>355600</v>
      </c>
      <c r="I403" s="12">
        <v>15240</v>
      </c>
      <c r="J403" s="8">
        <f t="shared" si="37"/>
        <v>340360</v>
      </c>
      <c r="K403" s="12">
        <v>158750</v>
      </c>
      <c r="L403" s="8">
        <f t="shared" si="38"/>
        <v>181610</v>
      </c>
      <c r="M403" s="13">
        <v>41974</v>
      </c>
      <c r="N403" s="10">
        <f t="shared" si="39"/>
        <v>12</v>
      </c>
      <c r="O403" s="8" t="str">
        <f t="shared" si="40"/>
        <v>December</v>
      </c>
      <c r="P403" s="7">
        <f t="shared" si="41"/>
        <v>2014</v>
      </c>
    </row>
    <row r="404" spans="1:16" ht="15.75" customHeight="1" x14ac:dyDescent="0.3">
      <c r="A404" s="7" t="s">
        <v>16</v>
      </c>
      <c r="B404" s="7" t="s">
        <v>28</v>
      </c>
      <c r="C404" s="8" t="s">
        <v>31</v>
      </c>
      <c r="D404" s="8" t="s">
        <v>34</v>
      </c>
      <c r="E404" s="7">
        <v>436.5</v>
      </c>
      <c r="F404" s="8">
        <v>250</v>
      </c>
      <c r="G404" s="8">
        <v>20</v>
      </c>
      <c r="H404" s="8">
        <f t="shared" si="36"/>
        <v>117855</v>
      </c>
      <c r="I404" s="8">
        <v>698.40000000000009</v>
      </c>
      <c r="J404" s="8">
        <f t="shared" si="37"/>
        <v>117156.6</v>
      </c>
      <c r="K404" s="8">
        <v>4365</v>
      </c>
      <c r="L404" s="8">
        <f t="shared" si="38"/>
        <v>112791.6</v>
      </c>
      <c r="M404" s="9">
        <v>41821</v>
      </c>
      <c r="N404" s="10">
        <f t="shared" si="39"/>
        <v>7</v>
      </c>
      <c r="O404" s="8" t="str">
        <f t="shared" si="40"/>
        <v>July</v>
      </c>
      <c r="P404" s="7">
        <f t="shared" si="41"/>
        <v>2014</v>
      </c>
    </row>
    <row r="405" spans="1:16" ht="15.75" customHeight="1" x14ac:dyDescent="0.3">
      <c r="A405" s="11" t="s">
        <v>27</v>
      </c>
      <c r="B405" s="11" t="s">
        <v>17</v>
      </c>
      <c r="C405" s="12" t="s">
        <v>18</v>
      </c>
      <c r="D405" s="12" t="s">
        <v>34</v>
      </c>
      <c r="E405" s="11">
        <v>1094</v>
      </c>
      <c r="F405" s="12">
        <v>3</v>
      </c>
      <c r="G405" s="12">
        <v>300</v>
      </c>
      <c r="H405" s="8">
        <f t="shared" si="36"/>
        <v>331482</v>
      </c>
      <c r="I405" s="12">
        <v>29538</v>
      </c>
      <c r="J405" s="8">
        <f t="shared" si="37"/>
        <v>301944</v>
      </c>
      <c r="K405" s="12">
        <v>273500</v>
      </c>
      <c r="L405" s="8">
        <f t="shared" si="38"/>
        <v>28444</v>
      </c>
      <c r="M405" s="13">
        <v>41791</v>
      </c>
      <c r="N405" s="10">
        <f t="shared" si="39"/>
        <v>6</v>
      </c>
      <c r="O405" s="8" t="str">
        <f t="shared" si="40"/>
        <v>June</v>
      </c>
      <c r="P405" s="7">
        <f t="shared" si="41"/>
        <v>2014</v>
      </c>
    </row>
    <row r="406" spans="1:16" ht="15.75" customHeight="1" x14ac:dyDescent="0.3">
      <c r="A406" s="7" t="s">
        <v>25</v>
      </c>
      <c r="B406" s="7" t="s">
        <v>23</v>
      </c>
      <c r="C406" s="8" t="s">
        <v>18</v>
      </c>
      <c r="D406" s="8" t="s">
        <v>34</v>
      </c>
      <c r="E406" s="7">
        <v>367</v>
      </c>
      <c r="F406" s="8">
        <v>3</v>
      </c>
      <c r="G406" s="8">
        <v>12</v>
      </c>
      <c r="H406" s="8">
        <f t="shared" si="36"/>
        <v>5505</v>
      </c>
      <c r="I406" s="8">
        <v>396.36</v>
      </c>
      <c r="J406" s="8">
        <f t="shared" si="37"/>
        <v>5108.6400000000003</v>
      </c>
      <c r="K406" s="8">
        <v>1101</v>
      </c>
      <c r="L406" s="8">
        <f t="shared" si="38"/>
        <v>4007.6400000000003</v>
      </c>
      <c r="M406" s="9">
        <v>41548</v>
      </c>
      <c r="N406" s="10">
        <f t="shared" si="39"/>
        <v>10</v>
      </c>
      <c r="O406" s="8" t="str">
        <f t="shared" si="40"/>
        <v>October</v>
      </c>
      <c r="P406" s="7">
        <f t="shared" si="41"/>
        <v>2013</v>
      </c>
    </row>
    <row r="407" spans="1:16" ht="15.75" customHeight="1" x14ac:dyDescent="0.3">
      <c r="A407" s="11" t="s">
        <v>27</v>
      </c>
      <c r="B407" s="11" t="s">
        <v>17</v>
      </c>
      <c r="C407" s="12" t="s">
        <v>24</v>
      </c>
      <c r="D407" s="12" t="s">
        <v>34</v>
      </c>
      <c r="E407" s="11">
        <v>3802.5</v>
      </c>
      <c r="F407" s="12">
        <v>5</v>
      </c>
      <c r="G407" s="12">
        <v>300</v>
      </c>
      <c r="H407" s="8">
        <f t="shared" si="36"/>
        <v>1159762.5</v>
      </c>
      <c r="I407" s="12">
        <v>102667.5</v>
      </c>
      <c r="J407" s="8">
        <f t="shared" si="37"/>
        <v>1057095</v>
      </c>
      <c r="K407" s="12">
        <v>950625</v>
      </c>
      <c r="L407" s="8">
        <f t="shared" si="38"/>
        <v>106470</v>
      </c>
      <c r="M407" s="13">
        <v>41730</v>
      </c>
      <c r="N407" s="10">
        <f t="shared" si="39"/>
        <v>4</v>
      </c>
      <c r="O407" s="8" t="str">
        <f t="shared" si="40"/>
        <v>April</v>
      </c>
      <c r="P407" s="7">
        <f t="shared" si="41"/>
        <v>2014</v>
      </c>
    </row>
    <row r="408" spans="1:16" ht="15.75" customHeight="1" x14ac:dyDescent="0.3">
      <c r="A408" s="7" t="s">
        <v>16</v>
      </c>
      <c r="B408" s="7" t="s">
        <v>22</v>
      </c>
      <c r="C408" s="8" t="s">
        <v>24</v>
      </c>
      <c r="D408" s="8" t="s">
        <v>34</v>
      </c>
      <c r="E408" s="7">
        <v>1666</v>
      </c>
      <c r="F408" s="8">
        <v>5</v>
      </c>
      <c r="G408" s="8">
        <v>350</v>
      </c>
      <c r="H408" s="8">
        <f t="shared" si="36"/>
        <v>591430</v>
      </c>
      <c r="I408" s="8">
        <v>52479</v>
      </c>
      <c r="J408" s="8">
        <f t="shared" si="37"/>
        <v>538951</v>
      </c>
      <c r="K408" s="8">
        <v>433160</v>
      </c>
      <c r="L408" s="8">
        <f t="shared" si="38"/>
        <v>105791</v>
      </c>
      <c r="M408" s="9">
        <v>41760</v>
      </c>
      <c r="N408" s="10">
        <f t="shared" si="39"/>
        <v>5</v>
      </c>
      <c r="O408" s="8" t="str">
        <f t="shared" si="40"/>
        <v>May</v>
      </c>
      <c r="P408" s="7">
        <f t="shared" si="41"/>
        <v>2014</v>
      </c>
    </row>
    <row r="409" spans="1:16" ht="15.75" customHeight="1" x14ac:dyDescent="0.3">
      <c r="A409" s="11" t="s">
        <v>27</v>
      </c>
      <c r="B409" s="11" t="s">
        <v>22</v>
      </c>
      <c r="C409" s="12" t="s">
        <v>24</v>
      </c>
      <c r="D409" s="12" t="s">
        <v>34</v>
      </c>
      <c r="E409" s="11">
        <v>322</v>
      </c>
      <c r="F409" s="12">
        <v>5</v>
      </c>
      <c r="G409" s="12">
        <v>300</v>
      </c>
      <c r="H409" s="8">
        <f t="shared" si="36"/>
        <v>98210</v>
      </c>
      <c r="I409" s="12">
        <v>8694</v>
      </c>
      <c r="J409" s="8">
        <f t="shared" si="37"/>
        <v>89516</v>
      </c>
      <c r="K409" s="12">
        <v>80500</v>
      </c>
      <c r="L409" s="8">
        <f t="shared" si="38"/>
        <v>9016</v>
      </c>
      <c r="M409" s="13">
        <v>41518</v>
      </c>
      <c r="N409" s="10">
        <f t="shared" si="39"/>
        <v>9</v>
      </c>
      <c r="O409" s="8" t="str">
        <f t="shared" si="40"/>
        <v>September</v>
      </c>
      <c r="P409" s="7">
        <f t="shared" si="41"/>
        <v>2013</v>
      </c>
    </row>
    <row r="410" spans="1:16" ht="15.75" customHeight="1" x14ac:dyDescent="0.3">
      <c r="A410" s="7" t="s">
        <v>25</v>
      </c>
      <c r="B410" s="7" t="s">
        <v>17</v>
      </c>
      <c r="C410" s="8" t="s">
        <v>24</v>
      </c>
      <c r="D410" s="8" t="s">
        <v>34</v>
      </c>
      <c r="E410" s="7">
        <v>2321</v>
      </c>
      <c r="F410" s="8">
        <v>5</v>
      </c>
      <c r="G410" s="8">
        <v>12</v>
      </c>
      <c r="H410" s="8">
        <f t="shared" si="36"/>
        <v>39457</v>
      </c>
      <c r="I410" s="8">
        <v>2506.6799999999998</v>
      </c>
      <c r="J410" s="8">
        <f t="shared" si="37"/>
        <v>36950.32</v>
      </c>
      <c r="K410" s="8">
        <v>6963</v>
      </c>
      <c r="L410" s="8">
        <f t="shared" si="38"/>
        <v>29987.32</v>
      </c>
      <c r="M410" s="9">
        <v>41944</v>
      </c>
      <c r="N410" s="10">
        <f t="shared" si="39"/>
        <v>11</v>
      </c>
      <c r="O410" s="8" t="str">
        <f t="shared" si="40"/>
        <v>November</v>
      </c>
      <c r="P410" s="7">
        <f t="shared" si="41"/>
        <v>2014</v>
      </c>
    </row>
    <row r="411" spans="1:16" ht="15.75" customHeight="1" x14ac:dyDescent="0.3">
      <c r="A411" s="11" t="s">
        <v>26</v>
      </c>
      <c r="B411" s="11" t="s">
        <v>22</v>
      </c>
      <c r="C411" s="12" t="s">
        <v>24</v>
      </c>
      <c r="D411" s="12" t="s">
        <v>34</v>
      </c>
      <c r="E411" s="11">
        <v>1857</v>
      </c>
      <c r="F411" s="12">
        <v>5</v>
      </c>
      <c r="G411" s="12">
        <v>125</v>
      </c>
      <c r="H411" s="8">
        <f t="shared" si="36"/>
        <v>241410</v>
      </c>
      <c r="I411" s="12">
        <v>20891.25</v>
      </c>
      <c r="J411" s="8">
        <f t="shared" si="37"/>
        <v>220518.75</v>
      </c>
      <c r="K411" s="12">
        <v>222840</v>
      </c>
      <c r="L411" s="8">
        <f t="shared" si="38"/>
        <v>-2321.25</v>
      </c>
      <c r="M411" s="13">
        <v>41579</v>
      </c>
      <c r="N411" s="10">
        <f t="shared" si="39"/>
        <v>11</v>
      </c>
      <c r="O411" s="8" t="str">
        <f t="shared" si="40"/>
        <v>November</v>
      </c>
      <c r="P411" s="7">
        <f t="shared" si="41"/>
        <v>2013</v>
      </c>
    </row>
    <row r="412" spans="1:16" ht="15.75" customHeight="1" x14ac:dyDescent="0.3">
      <c r="A412" s="7" t="s">
        <v>16</v>
      </c>
      <c r="B412" s="7" t="s">
        <v>17</v>
      </c>
      <c r="C412" s="8" t="s">
        <v>24</v>
      </c>
      <c r="D412" s="8" t="s">
        <v>34</v>
      </c>
      <c r="E412" s="7">
        <v>1611</v>
      </c>
      <c r="F412" s="8">
        <v>5</v>
      </c>
      <c r="G412" s="8">
        <v>7</v>
      </c>
      <c r="H412" s="8">
        <f t="shared" si="36"/>
        <v>19332</v>
      </c>
      <c r="I412" s="8">
        <v>1014.93</v>
      </c>
      <c r="J412" s="8">
        <f t="shared" si="37"/>
        <v>18317.07</v>
      </c>
      <c r="K412" s="8">
        <v>8055</v>
      </c>
      <c r="L412" s="8">
        <f t="shared" si="38"/>
        <v>10262.07</v>
      </c>
      <c r="M412" s="9">
        <v>41609</v>
      </c>
      <c r="N412" s="10">
        <f t="shared" si="39"/>
        <v>12</v>
      </c>
      <c r="O412" s="8" t="str">
        <f t="shared" si="40"/>
        <v>December</v>
      </c>
      <c r="P412" s="7">
        <f t="shared" si="41"/>
        <v>2013</v>
      </c>
    </row>
    <row r="413" spans="1:16" ht="15.75" customHeight="1" x14ac:dyDescent="0.3">
      <c r="A413" s="11" t="s">
        <v>26</v>
      </c>
      <c r="B413" s="11" t="s">
        <v>28</v>
      </c>
      <c r="C413" s="12" t="s">
        <v>24</v>
      </c>
      <c r="D413" s="12" t="s">
        <v>34</v>
      </c>
      <c r="E413" s="11">
        <v>2797</v>
      </c>
      <c r="F413" s="12">
        <v>5</v>
      </c>
      <c r="G413" s="12">
        <v>125</v>
      </c>
      <c r="H413" s="8">
        <f t="shared" si="36"/>
        <v>363610</v>
      </c>
      <c r="I413" s="12">
        <v>31466.25</v>
      </c>
      <c r="J413" s="8">
        <f t="shared" si="37"/>
        <v>332143.75</v>
      </c>
      <c r="K413" s="12">
        <v>335640</v>
      </c>
      <c r="L413" s="8">
        <f t="shared" si="38"/>
        <v>-3496.25</v>
      </c>
      <c r="M413" s="13">
        <v>41974</v>
      </c>
      <c r="N413" s="10">
        <f t="shared" si="39"/>
        <v>12</v>
      </c>
      <c r="O413" s="8" t="str">
        <f t="shared" si="40"/>
        <v>December</v>
      </c>
      <c r="P413" s="7">
        <f t="shared" si="41"/>
        <v>2014</v>
      </c>
    </row>
    <row r="414" spans="1:16" ht="15.75" customHeight="1" x14ac:dyDescent="0.3">
      <c r="A414" s="7" t="s">
        <v>27</v>
      </c>
      <c r="B414" s="7" t="s">
        <v>20</v>
      </c>
      <c r="C414" s="8" t="s">
        <v>24</v>
      </c>
      <c r="D414" s="8" t="s">
        <v>34</v>
      </c>
      <c r="E414" s="7">
        <v>334</v>
      </c>
      <c r="F414" s="8">
        <v>5</v>
      </c>
      <c r="G414" s="8">
        <v>300</v>
      </c>
      <c r="H414" s="8">
        <f t="shared" si="36"/>
        <v>101870</v>
      </c>
      <c r="I414" s="8">
        <v>9018</v>
      </c>
      <c r="J414" s="8">
        <f t="shared" si="37"/>
        <v>92852</v>
      </c>
      <c r="K414" s="8">
        <v>83500</v>
      </c>
      <c r="L414" s="8">
        <f t="shared" si="38"/>
        <v>9352</v>
      </c>
      <c r="M414" s="9">
        <v>41609</v>
      </c>
      <c r="N414" s="10">
        <f t="shared" si="39"/>
        <v>12</v>
      </c>
      <c r="O414" s="8" t="str">
        <f t="shared" si="40"/>
        <v>December</v>
      </c>
      <c r="P414" s="7">
        <f t="shared" si="41"/>
        <v>2013</v>
      </c>
    </row>
    <row r="415" spans="1:16" ht="15.75" customHeight="1" x14ac:dyDescent="0.3">
      <c r="A415" s="11" t="s">
        <v>27</v>
      </c>
      <c r="B415" s="11" t="s">
        <v>23</v>
      </c>
      <c r="C415" s="12" t="s">
        <v>29</v>
      </c>
      <c r="D415" s="12" t="s">
        <v>34</v>
      </c>
      <c r="E415" s="11">
        <v>2565</v>
      </c>
      <c r="F415" s="12">
        <v>10</v>
      </c>
      <c r="G415" s="12">
        <v>300</v>
      </c>
      <c r="H415" s="8">
        <f t="shared" si="36"/>
        <v>795150</v>
      </c>
      <c r="I415" s="12">
        <v>69255</v>
      </c>
      <c r="J415" s="8">
        <f t="shared" si="37"/>
        <v>725895</v>
      </c>
      <c r="K415" s="12">
        <v>641250</v>
      </c>
      <c r="L415" s="8">
        <f t="shared" si="38"/>
        <v>84645</v>
      </c>
      <c r="M415" s="13">
        <v>41640</v>
      </c>
      <c r="N415" s="10">
        <f t="shared" si="39"/>
        <v>1</v>
      </c>
      <c r="O415" s="8" t="str">
        <f t="shared" si="40"/>
        <v>January</v>
      </c>
      <c r="P415" s="7">
        <f t="shared" si="41"/>
        <v>2014</v>
      </c>
    </row>
    <row r="416" spans="1:16" ht="15.75" customHeight="1" x14ac:dyDescent="0.3">
      <c r="A416" s="7" t="s">
        <v>16</v>
      </c>
      <c r="B416" s="7" t="s">
        <v>23</v>
      </c>
      <c r="C416" s="8" t="s">
        <v>29</v>
      </c>
      <c r="D416" s="8" t="s">
        <v>34</v>
      </c>
      <c r="E416" s="7">
        <v>2417</v>
      </c>
      <c r="F416" s="8">
        <v>10</v>
      </c>
      <c r="G416" s="8">
        <v>350</v>
      </c>
      <c r="H416" s="8">
        <f t="shared" si="36"/>
        <v>870120</v>
      </c>
      <c r="I416" s="8">
        <v>76135.5</v>
      </c>
      <c r="J416" s="8">
        <f t="shared" si="37"/>
        <v>793984.5</v>
      </c>
      <c r="K416" s="8">
        <v>628420</v>
      </c>
      <c r="L416" s="8">
        <f t="shared" si="38"/>
        <v>165564.5</v>
      </c>
      <c r="M416" s="9">
        <v>41640</v>
      </c>
      <c r="N416" s="10">
        <f t="shared" si="39"/>
        <v>1</v>
      </c>
      <c r="O416" s="8" t="str">
        <f t="shared" si="40"/>
        <v>January</v>
      </c>
      <c r="P416" s="7">
        <f t="shared" si="41"/>
        <v>2014</v>
      </c>
    </row>
    <row r="417" spans="1:16" ht="15.75" customHeight="1" x14ac:dyDescent="0.3">
      <c r="A417" s="11" t="s">
        <v>21</v>
      </c>
      <c r="B417" s="11" t="s">
        <v>28</v>
      </c>
      <c r="C417" s="12" t="s">
        <v>29</v>
      </c>
      <c r="D417" s="12" t="s">
        <v>34</v>
      </c>
      <c r="E417" s="11">
        <v>3675</v>
      </c>
      <c r="F417" s="12">
        <v>10</v>
      </c>
      <c r="G417" s="12">
        <v>15</v>
      </c>
      <c r="H417" s="8">
        <f t="shared" si="36"/>
        <v>91875</v>
      </c>
      <c r="I417" s="12">
        <v>4961.25</v>
      </c>
      <c r="J417" s="8">
        <f t="shared" si="37"/>
        <v>86913.75</v>
      </c>
      <c r="K417" s="12">
        <v>36750</v>
      </c>
      <c r="L417" s="8">
        <f t="shared" si="38"/>
        <v>50163.75</v>
      </c>
      <c r="M417" s="13">
        <v>41730</v>
      </c>
      <c r="N417" s="10">
        <f t="shared" si="39"/>
        <v>4</v>
      </c>
      <c r="O417" s="8" t="str">
        <f t="shared" si="40"/>
        <v>April</v>
      </c>
      <c r="P417" s="7">
        <f t="shared" si="41"/>
        <v>2014</v>
      </c>
    </row>
    <row r="418" spans="1:16" ht="15.75" customHeight="1" x14ac:dyDescent="0.3">
      <c r="A418" s="7" t="s">
        <v>27</v>
      </c>
      <c r="B418" s="7" t="s">
        <v>17</v>
      </c>
      <c r="C418" s="8" t="s">
        <v>29</v>
      </c>
      <c r="D418" s="8" t="s">
        <v>34</v>
      </c>
      <c r="E418" s="7">
        <v>1094</v>
      </c>
      <c r="F418" s="8">
        <v>10</v>
      </c>
      <c r="G418" s="8">
        <v>300</v>
      </c>
      <c r="H418" s="8">
        <f t="shared" si="36"/>
        <v>339140</v>
      </c>
      <c r="I418" s="8">
        <v>29538</v>
      </c>
      <c r="J418" s="8">
        <f t="shared" si="37"/>
        <v>309602</v>
      </c>
      <c r="K418" s="8">
        <v>273500</v>
      </c>
      <c r="L418" s="8">
        <f t="shared" si="38"/>
        <v>36102</v>
      </c>
      <c r="M418" s="9">
        <v>41791</v>
      </c>
      <c r="N418" s="10">
        <f t="shared" si="39"/>
        <v>6</v>
      </c>
      <c r="O418" s="8" t="str">
        <f t="shared" si="40"/>
        <v>June</v>
      </c>
      <c r="P418" s="7">
        <f t="shared" si="41"/>
        <v>2014</v>
      </c>
    </row>
    <row r="419" spans="1:16" ht="15.75" customHeight="1" x14ac:dyDescent="0.3">
      <c r="A419" s="11" t="s">
        <v>21</v>
      </c>
      <c r="B419" s="11" t="s">
        <v>22</v>
      </c>
      <c r="C419" s="12" t="s">
        <v>29</v>
      </c>
      <c r="D419" s="12" t="s">
        <v>34</v>
      </c>
      <c r="E419" s="11">
        <v>1227</v>
      </c>
      <c r="F419" s="12">
        <v>10</v>
      </c>
      <c r="G419" s="12">
        <v>15</v>
      </c>
      <c r="H419" s="8">
        <f t="shared" si="36"/>
        <v>30675</v>
      </c>
      <c r="I419" s="12">
        <v>1656.45</v>
      </c>
      <c r="J419" s="8">
        <f t="shared" si="37"/>
        <v>29018.55</v>
      </c>
      <c r="K419" s="12">
        <v>12270</v>
      </c>
      <c r="L419" s="8">
        <f t="shared" si="38"/>
        <v>16748.55</v>
      </c>
      <c r="M419" s="13">
        <v>41913</v>
      </c>
      <c r="N419" s="10">
        <f t="shared" si="39"/>
        <v>10</v>
      </c>
      <c r="O419" s="8" t="str">
        <f t="shared" si="40"/>
        <v>October</v>
      </c>
      <c r="P419" s="7">
        <f t="shared" si="41"/>
        <v>2014</v>
      </c>
    </row>
    <row r="420" spans="1:16" ht="15.75" customHeight="1" x14ac:dyDescent="0.3">
      <c r="A420" s="7" t="s">
        <v>25</v>
      </c>
      <c r="B420" s="7" t="s">
        <v>23</v>
      </c>
      <c r="C420" s="8" t="s">
        <v>29</v>
      </c>
      <c r="D420" s="8" t="s">
        <v>34</v>
      </c>
      <c r="E420" s="7">
        <v>367</v>
      </c>
      <c r="F420" s="8">
        <v>10</v>
      </c>
      <c r="G420" s="8">
        <v>12</v>
      </c>
      <c r="H420" s="8">
        <f t="shared" si="36"/>
        <v>8074</v>
      </c>
      <c r="I420" s="8">
        <v>396.36</v>
      </c>
      <c r="J420" s="8">
        <f t="shared" si="37"/>
        <v>7677.64</v>
      </c>
      <c r="K420" s="8">
        <v>1101</v>
      </c>
      <c r="L420" s="8">
        <f t="shared" si="38"/>
        <v>6576.64</v>
      </c>
      <c r="M420" s="9">
        <v>41548</v>
      </c>
      <c r="N420" s="10">
        <f t="shared" si="39"/>
        <v>10</v>
      </c>
      <c r="O420" s="8" t="str">
        <f t="shared" si="40"/>
        <v>October</v>
      </c>
      <c r="P420" s="7">
        <f t="shared" si="41"/>
        <v>2013</v>
      </c>
    </row>
    <row r="421" spans="1:16" ht="15.75" customHeight="1" x14ac:dyDescent="0.3">
      <c r="A421" s="11" t="s">
        <v>27</v>
      </c>
      <c r="B421" s="11" t="s">
        <v>22</v>
      </c>
      <c r="C421" s="12" t="s">
        <v>29</v>
      </c>
      <c r="D421" s="12" t="s">
        <v>34</v>
      </c>
      <c r="E421" s="11">
        <v>1324</v>
      </c>
      <c r="F421" s="12">
        <v>10</v>
      </c>
      <c r="G421" s="12">
        <v>300</v>
      </c>
      <c r="H421" s="8">
        <f t="shared" si="36"/>
        <v>410440</v>
      </c>
      <c r="I421" s="12">
        <v>35748</v>
      </c>
      <c r="J421" s="8">
        <f t="shared" si="37"/>
        <v>374692</v>
      </c>
      <c r="K421" s="12">
        <v>331000</v>
      </c>
      <c r="L421" s="8">
        <f t="shared" si="38"/>
        <v>43692</v>
      </c>
      <c r="M421" s="13">
        <v>41944</v>
      </c>
      <c r="N421" s="10">
        <f t="shared" si="39"/>
        <v>11</v>
      </c>
      <c r="O421" s="8" t="str">
        <f t="shared" si="40"/>
        <v>November</v>
      </c>
      <c r="P421" s="7">
        <f t="shared" si="41"/>
        <v>2014</v>
      </c>
    </row>
    <row r="422" spans="1:16" ht="15.75" customHeight="1" x14ac:dyDescent="0.3">
      <c r="A422" s="7" t="s">
        <v>25</v>
      </c>
      <c r="B422" s="7" t="s">
        <v>20</v>
      </c>
      <c r="C422" s="8" t="s">
        <v>29</v>
      </c>
      <c r="D422" s="8" t="s">
        <v>34</v>
      </c>
      <c r="E422" s="7">
        <v>1775</v>
      </c>
      <c r="F422" s="8">
        <v>10</v>
      </c>
      <c r="G422" s="8">
        <v>12</v>
      </c>
      <c r="H422" s="8">
        <f t="shared" si="36"/>
        <v>39050</v>
      </c>
      <c r="I422" s="8">
        <v>1917</v>
      </c>
      <c r="J422" s="8">
        <f t="shared" si="37"/>
        <v>37133</v>
      </c>
      <c r="K422" s="8">
        <v>5325</v>
      </c>
      <c r="L422" s="8">
        <f t="shared" si="38"/>
        <v>31808</v>
      </c>
      <c r="M422" s="9">
        <v>41579</v>
      </c>
      <c r="N422" s="10">
        <f t="shared" si="39"/>
        <v>11</v>
      </c>
      <c r="O422" s="8" t="str">
        <f t="shared" si="40"/>
        <v>November</v>
      </c>
      <c r="P422" s="7">
        <f t="shared" si="41"/>
        <v>2013</v>
      </c>
    </row>
    <row r="423" spans="1:16" ht="15.75" customHeight="1" x14ac:dyDescent="0.3">
      <c r="A423" s="11" t="s">
        <v>26</v>
      </c>
      <c r="B423" s="11" t="s">
        <v>28</v>
      </c>
      <c r="C423" s="12" t="s">
        <v>29</v>
      </c>
      <c r="D423" s="12" t="s">
        <v>34</v>
      </c>
      <c r="E423" s="11">
        <v>2797</v>
      </c>
      <c r="F423" s="12">
        <v>10</v>
      </c>
      <c r="G423" s="12">
        <v>125</v>
      </c>
      <c r="H423" s="8">
        <f t="shared" si="36"/>
        <v>377595</v>
      </c>
      <c r="I423" s="12">
        <v>31466.25</v>
      </c>
      <c r="J423" s="8">
        <f t="shared" si="37"/>
        <v>346128.75</v>
      </c>
      <c r="K423" s="12">
        <v>335640</v>
      </c>
      <c r="L423" s="8">
        <f t="shared" si="38"/>
        <v>10488.75</v>
      </c>
      <c r="M423" s="13">
        <v>41974</v>
      </c>
      <c r="N423" s="10">
        <f t="shared" si="39"/>
        <v>12</v>
      </c>
      <c r="O423" s="8" t="str">
        <f t="shared" si="40"/>
        <v>December</v>
      </c>
      <c r="P423" s="7">
        <f t="shared" si="41"/>
        <v>2014</v>
      </c>
    </row>
    <row r="424" spans="1:16" ht="15.75" customHeight="1" x14ac:dyDescent="0.3">
      <c r="A424" s="7" t="s">
        <v>21</v>
      </c>
      <c r="B424" s="7" t="s">
        <v>23</v>
      </c>
      <c r="C424" s="8" t="s">
        <v>30</v>
      </c>
      <c r="D424" s="8" t="s">
        <v>34</v>
      </c>
      <c r="E424" s="7">
        <v>245</v>
      </c>
      <c r="F424" s="8">
        <v>120</v>
      </c>
      <c r="G424" s="8">
        <v>15</v>
      </c>
      <c r="H424" s="8">
        <f t="shared" si="36"/>
        <v>33075</v>
      </c>
      <c r="I424" s="8">
        <v>330.75</v>
      </c>
      <c r="J424" s="8">
        <f t="shared" si="37"/>
        <v>32744.25</v>
      </c>
      <c r="K424" s="8">
        <v>2450</v>
      </c>
      <c r="L424" s="8">
        <f t="shared" si="38"/>
        <v>30294.25</v>
      </c>
      <c r="M424" s="9">
        <v>41760</v>
      </c>
      <c r="N424" s="10">
        <f t="shared" si="39"/>
        <v>5</v>
      </c>
      <c r="O424" s="8" t="str">
        <f t="shared" si="40"/>
        <v>May</v>
      </c>
      <c r="P424" s="7">
        <f t="shared" si="41"/>
        <v>2014</v>
      </c>
    </row>
    <row r="425" spans="1:16" ht="15.75" customHeight="1" x14ac:dyDescent="0.3">
      <c r="A425" s="11" t="s">
        <v>27</v>
      </c>
      <c r="B425" s="11" t="s">
        <v>17</v>
      </c>
      <c r="C425" s="12" t="s">
        <v>30</v>
      </c>
      <c r="D425" s="12" t="s">
        <v>34</v>
      </c>
      <c r="E425" s="11">
        <v>3793.5</v>
      </c>
      <c r="F425" s="12">
        <v>120</v>
      </c>
      <c r="G425" s="12">
        <v>300</v>
      </c>
      <c r="H425" s="8">
        <f t="shared" si="36"/>
        <v>1593270</v>
      </c>
      <c r="I425" s="12">
        <v>102424.5</v>
      </c>
      <c r="J425" s="8">
        <f t="shared" si="37"/>
        <v>1490845.5</v>
      </c>
      <c r="K425" s="12">
        <v>948375</v>
      </c>
      <c r="L425" s="8">
        <f t="shared" si="38"/>
        <v>542470.5</v>
      </c>
      <c r="M425" s="13">
        <v>41821</v>
      </c>
      <c r="N425" s="10">
        <f t="shared" si="39"/>
        <v>7</v>
      </c>
      <c r="O425" s="8" t="str">
        <f t="shared" si="40"/>
        <v>July</v>
      </c>
      <c r="P425" s="7">
        <f t="shared" si="41"/>
        <v>2014</v>
      </c>
    </row>
    <row r="426" spans="1:16" ht="15.75" customHeight="1" x14ac:dyDescent="0.3">
      <c r="A426" s="7" t="s">
        <v>16</v>
      </c>
      <c r="B426" s="7" t="s">
        <v>20</v>
      </c>
      <c r="C426" s="8" t="s">
        <v>30</v>
      </c>
      <c r="D426" s="8" t="s">
        <v>34</v>
      </c>
      <c r="E426" s="7">
        <v>1307</v>
      </c>
      <c r="F426" s="8">
        <v>120</v>
      </c>
      <c r="G426" s="8">
        <v>350</v>
      </c>
      <c r="H426" s="8">
        <f t="shared" si="36"/>
        <v>614290</v>
      </c>
      <c r="I426" s="8">
        <v>41170.5</v>
      </c>
      <c r="J426" s="8">
        <f t="shared" si="37"/>
        <v>573119.5</v>
      </c>
      <c r="K426" s="8">
        <v>339820</v>
      </c>
      <c r="L426" s="8">
        <f t="shared" si="38"/>
        <v>233299.5</v>
      </c>
      <c r="M426" s="9">
        <v>41821</v>
      </c>
      <c r="N426" s="10">
        <f t="shared" si="39"/>
        <v>7</v>
      </c>
      <c r="O426" s="8" t="str">
        <f t="shared" si="40"/>
        <v>July</v>
      </c>
      <c r="P426" s="7">
        <f t="shared" si="41"/>
        <v>2014</v>
      </c>
    </row>
    <row r="427" spans="1:16" ht="15.75" customHeight="1" x14ac:dyDescent="0.3">
      <c r="A427" s="11" t="s">
        <v>26</v>
      </c>
      <c r="B427" s="11" t="s">
        <v>17</v>
      </c>
      <c r="C427" s="12" t="s">
        <v>30</v>
      </c>
      <c r="D427" s="12" t="s">
        <v>34</v>
      </c>
      <c r="E427" s="11">
        <v>567</v>
      </c>
      <c r="F427" s="12">
        <v>120</v>
      </c>
      <c r="G427" s="12">
        <v>125</v>
      </c>
      <c r="H427" s="8">
        <f t="shared" si="36"/>
        <v>138915</v>
      </c>
      <c r="I427" s="12">
        <v>6378.75</v>
      </c>
      <c r="J427" s="8">
        <f t="shared" si="37"/>
        <v>132536.25</v>
      </c>
      <c r="K427" s="12">
        <v>68040</v>
      </c>
      <c r="L427" s="8">
        <f t="shared" si="38"/>
        <v>64496.25</v>
      </c>
      <c r="M427" s="13">
        <v>41883</v>
      </c>
      <c r="N427" s="10">
        <f t="shared" si="39"/>
        <v>9</v>
      </c>
      <c r="O427" s="8" t="str">
        <f t="shared" si="40"/>
        <v>September</v>
      </c>
      <c r="P427" s="7">
        <f t="shared" si="41"/>
        <v>2014</v>
      </c>
    </row>
    <row r="428" spans="1:16" ht="15.75" customHeight="1" x14ac:dyDescent="0.3">
      <c r="A428" s="7" t="s">
        <v>26</v>
      </c>
      <c r="B428" s="7" t="s">
        <v>23</v>
      </c>
      <c r="C428" s="8" t="s">
        <v>30</v>
      </c>
      <c r="D428" s="8" t="s">
        <v>34</v>
      </c>
      <c r="E428" s="7">
        <v>2110</v>
      </c>
      <c r="F428" s="8">
        <v>120</v>
      </c>
      <c r="G428" s="8">
        <v>125</v>
      </c>
      <c r="H428" s="8">
        <f t="shared" si="36"/>
        <v>516950</v>
      </c>
      <c r="I428" s="8">
        <v>23737.5</v>
      </c>
      <c r="J428" s="8">
        <f t="shared" si="37"/>
        <v>493212.5</v>
      </c>
      <c r="K428" s="8">
        <v>253200</v>
      </c>
      <c r="L428" s="8">
        <f t="shared" si="38"/>
        <v>240012.5</v>
      </c>
      <c r="M428" s="9">
        <v>41883</v>
      </c>
      <c r="N428" s="10">
        <f t="shared" si="39"/>
        <v>9</v>
      </c>
      <c r="O428" s="8" t="str">
        <f t="shared" si="40"/>
        <v>September</v>
      </c>
      <c r="P428" s="7">
        <f t="shared" si="41"/>
        <v>2014</v>
      </c>
    </row>
    <row r="429" spans="1:16" ht="15.75" customHeight="1" x14ac:dyDescent="0.3">
      <c r="A429" s="11" t="s">
        <v>16</v>
      </c>
      <c r="B429" s="11" t="s">
        <v>17</v>
      </c>
      <c r="C429" s="12" t="s">
        <v>30</v>
      </c>
      <c r="D429" s="12" t="s">
        <v>34</v>
      </c>
      <c r="E429" s="11">
        <v>1269</v>
      </c>
      <c r="F429" s="12">
        <v>120</v>
      </c>
      <c r="G429" s="12">
        <v>350</v>
      </c>
      <c r="H429" s="8">
        <f t="shared" si="36"/>
        <v>596430</v>
      </c>
      <c r="I429" s="12">
        <v>39973.5</v>
      </c>
      <c r="J429" s="8">
        <f t="shared" si="37"/>
        <v>556456.5</v>
      </c>
      <c r="K429" s="12">
        <v>329940</v>
      </c>
      <c r="L429" s="8">
        <f t="shared" si="38"/>
        <v>226516.5</v>
      </c>
      <c r="M429" s="13">
        <v>41913</v>
      </c>
      <c r="N429" s="10">
        <f t="shared" si="39"/>
        <v>10</v>
      </c>
      <c r="O429" s="8" t="str">
        <f t="shared" si="40"/>
        <v>October</v>
      </c>
      <c r="P429" s="7">
        <f t="shared" si="41"/>
        <v>2014</v>
      </c>
    </row>
    <row r="430" spans="1:16" ht="15.75" customHeight="1" x14ac:dyDescent="0.3">
      <c r="A430" s="7" t="s">
        <v>25</v>
      </c>
      <c r="B430" s="7" t="s">
        <v>28</v>
      </c>
      <c r="C430" s="8" t="s">
        <v>31</v>
      </c>
      <c r="D430" s="8" t="s">
        <v>34</v>
      </c>
      <c r="E430" s="7">
        <v>1956</v>
      </c>
      <c r="F430" s="8">
        <v>250</v>
      </c>
      <c r="G430" s="8">
        <v>12</v>
      </c>
      <c r="H430" s="8">
        <f t="shared" si="36"/>
        <v>512472</v>
      </c>
      <c r="I430" s="8">
        <v>2112.48</v>
      </c>
      <c r="J430" s="8">
        <f t="shared" si="37"/>
        <v>510359.52</v>
      </c>
      <c r="K430" s="8">
        <v>5868</v>
      </c>
      <c r="L430" s="8">
        <f t="shared" si="38"/>
        <v>504491.52000000002</v>
      </c>
      <c r="M430" s="9">
        <v>41640</v>
      </c>
      <c r="N430" s="10">
        <f t="shared" si="39"/>
        <v>1</v>
      </c>
      <c r="O430" s="8" t="str">
        <f t="shared" si="40"/>
        <v>January</v>
      </c>
      <c r="P430" s="7">
        <f t="shared" si="41"/>
        <v>2014</v>
      </c>
    </row>
    <row r="431" spans="1:16" ht="15.75" customHeight="1" x14ac:dyDescent="0.3">
      <c r="A431" s="11" t="s">
        <v>27</v>
      </c>
      <c r="B431" s="11" t="s">
        <v>20</v>
      </c>
      <c r="C431" s="12" t="s">
        <v>31</v>
      </c>
      <c r="D431" s="12" t="s">
        <v>34</v>
      </c>
      <c r="E431" s="11">
        <v>2659</v>
      </c>
      <c r="F431" s="12">
        <v>250</v>
      </c>
      <c r="G431" s="12">
        <v>300</v>
      </c>
      <c r="H431" s="8">
        <f t="shared" si="36"/>
        <v>1462450</v>
      </c>
      <c r="I431" s="12">
        <v>71793</v>
      </c>
      <c r="J431" s="8">
        <f t="shared" si="37"/>
        <v>1390657</v>
      </c>
      <c r="K431" s="12">
        <v>664750</v>
      </c>
      <c r="L431" s="8">
        <f t="shared" si="38"/>
        <v>725907</v>
      </c>
      <c r="M431" s="13">
        <v>41671</v>
      </c>
      <c r="N431" s="10">
        <f t="shared" si="39"/>
        <v>2</v>
      </c>
      <c r="O431" s="8" t="str">
        <f t="shared" si="40"/>
        <v>February</v>
      </c>
      <c r="P431" s="7">
        <f t="shared" si="41"/>
        <v>2014</v>
      </c>
    </row>
    <row r="432" spans="1:16" ht="15.75" customHeight="1" x14ac:dyDescent="0.3">
      <c r="A432" s="7" t="s">
        <v>16</v>
      </c>
      <c r="B432" s="7" t="s">
        <v>28</v>
      </c>
      <c r="C432" s="8" t="s">
        <v>31</v>
      </c>
      <c r="D432" s="8" t="s">
        <v>34</v>
      </c>
      <c r="E432" s="7">
        <v>1351.5</v>
      </c>
      <c r="F432" s="8">
        <v>250</v>
      </c>
      <c r="G432" s="8">
        <v>350</v>
      </c>
      <c r="H432" s="8">
        <f t="shared" si="36"/>
        <v>810900</v>
      </c>
      <c r="I432" s="8">
        <v>42572.25</v>
      </c>
      <c r="J432" s="8">
        <f t="shared" si="37"/>
        <v>768327.75</v>
      </c>
      <c r="K432" s="8">
        <v>351390</v>
      </c>
      <c r="L432" s="8">
        <f t="shared" si="38"/>
        <v>416937.75</v>
      </c>
      <c r="M432" s="9">
        <v>41730</v>
      </c>
      <c r="N432" s="10">
        <f t="shared" si="39"/>
        <v>4</v>
      </c>
      <c r="O432" s="8" t="str">
        <f t="shared" si="40"/>
        <v>April</v>
      </c>
      <c r="P432" s="7">
        <f t="shared" si="41"/>
        <v>2014</v>
      </c>
    </row>
    <row r="433" spans="1:16" ht="15.75" customHeight="1" x14ac:dyDescent="0.3">
      <c r="A433" s="11" t="s">
        <v>25</v>
      </c>
      <c r="B433" s="11" t="s">
        <v>20</v>
      </c>
      <c r="C433" s="12" t="s">
        <v>31</v>
      </c>
      <c r="D433" s="12" t="s">
        <v>34</v>
      </c>
      <c r="E433" s="11">
        <v>880</v>
      </c>
      <c r="F433" s="12">
        <v>250</v>
      </c>
      <c r="G433" s="12">
        <v>12</v>
      </c>
      <c r="H433" s="8">
        <f t="shared" si="36"/>
        <v>230560</v>
      </c>
      <c r="I433" s="12">
        <v>950.4</v>
      </c>
      <c r="J433" s="8">
        <f t="shared" si="37"/>
        <v>229609.60000000001</v>
      </c>
      <c r="K433" s="12">
        <v>2640</v>
      </c>
      <c r="L433" s="8">
        <f t="shared" si="38"/>
        <v>226969.60000000001</v>
      </c>
      <c r="M433" s="13">
        <v>41760</v>
      </c>
      <c r="N433" s="10">
        <f t="shared" si="39"/>
        <v>5</v>
      </c>
      <c r="O433" s="8" t="str">
        <f t="shared" si="40"/>
        <v>May</v>
      </c>
      <c r="P433" s="7">
        <f t="shared" si="41"/>
        <v>2014</v>
      </c>
    </row>
    <row r="434" spans="1:16" ht="15.75" customHeight="1" x14ac:dyDescent="0.3">
      <c r="A434" s="7" t="s">
        <v>27</v>
      </c>
      <c r="B434" s="7" t="s">
        <v>28</v>
      </c>
      <c r="C434" s="8" t="s">
        <v>31</v>
      </c>
      <c r="D434" s="8" t="s">
        <v>34</v>
      </c>
      <c r="E434" s="7">
        <v>1867</v>
      </c>
      <c r="F434" s="8">
        <v>250</v>
      </c>
      <c r="G434" s="8">
        <v>300</v>
      </c>
      <c r="H434" s="8">
        <f t="shared" si="36"/>
        <v>1026850</v>
      </c>
      <c r="I434" s="8">
        <v>50409</v>
      </c>
      <c r="J434" s="8">
        <f t="shared" si="37"/>
        <v>976441</v>
      </c>
      <c r="K434" s="8">
        <v>466750</v>
      </c>
      <c r="L434" s="8">
        <f t="shared" si="38"/>
        <v>509691</v>
      </c>
      <c r="M434" s="9">
        <v>41883</v>
      </c>
      <c r="N434" s="10">
        <f t="shared" si="39"/>
        <v>9</v>
      </c>
      <c r="O434" s="8" t="str">
        <f t="shared" si="40"/>
        <v>September</v>
      </c>
      <c r="P434" s="7">
        <f t="shared" si="41"/>
        <v>2014</v>
      </c>
    </row>
    <row r="435" spans="1:16" ht="15.75" customHeight="1" x14ac:dyDescent="0.3">
      <c r="A435" s="11" t="s">
        <v>25</v>
      </c>
      <c r="B435" s="11" t="s">
        <v>22</v>
      </c>
      <c r="C435" s="12" t="s">
        <v>31</v>
      </c>
      <c r="D435" s="12" t="s">
        <v>34</v>
      </c>
      <c r="E435" s="11">
        <v>2234</v>
      </c>
      <c r="F435" s="12">
        <v>250</v>
      </c>
      <c r="G435" s="12">
        <v>12</v>
      </c>
      <c r="H435" s="8">
        <f t="shared" si="36"/>
        <v>585308</v>
      </c>
      <c r="I435" s="12">
        <v>2412.7199999999998</v>
      </c>
      <c r="J435" s="8">
        <f t="shared" si="37"/>
        <v>582895.28</v>
      </c>
      <c r="K435" s="12">
        <v>6702</v>
      </c>
      <c r="L435" s="8">
        <f t="shared" si="38"/>
        <v>576193.28000000003</v>
      </c>
      <c r="M435" s="13">
        <v>41518</v>
      </c>
      <c r="N435" s="10">
        <f t="shared" si="39"/>
        <v>9</v>
      </c>
      <c r="O435" s="8" t="str">
        <f t="shared" si="40"/>
        <v>September</v>
      </c>
      <c r="P435" s="7">
        <f t="shared" si="41"/>
        <v>2013</v>
      </c>
    </row>
    <row r="436" spans="1:16" ht="15.75" customHeight="1" x14ac:dyDescent="0.3">
      <c r="A436" s="7" t="s">
        <v>21</v>
      </c>
      <c r="B436" s="7" t="s">
        <v>22</v>
      </c>
      <c r="C436" s="8" t="s">
        <v>31</v>
      </c>
      <c r="D436" s="8" t="s">
        <v>34</v>
      </c>
      <c r="E436" s="7">
        <v>1227</v>
      </c>
      <c r="F436" s="8">
        <v>250</v>
      </c>
      <c r="G436" s="8">
        <v>15</v>
      </c>
      <c r="H436" s="8">
        <f t="shared" si="36"/>
        <v>325155</v>
      </c>
      <c r="I436" s="8">
        <v>1656.45</v>
      </c>
      <c r="J436" s="8">
        <f t="shared" si="37"/>
        <v>323498.55</v>
      </c>
      <c r="K436" s="8">
        <v>12270</v>
      </c>
      <c r="L436" s="8">
        <f t="shared" si="38"/>
        <v>311228.55</v>
      </c>
      <c r="M436" s="9">
        <v>41913</v>
      </c>
      <c r="N436" s="10">
        <f t="shared" si="39"/>
        <v>10</v>
      </c>
      <c r="O436" s="8" t="str">
        <f t="shared" si="40"/>
        <v>October</v>
      </c>
      <c r="P436" s="7">
        <f t="shared" si="41"/>
        <v>2014</v>
      </c>
    </row>
    <row r="437" spans="1:16" ht="15.75" customHeight="1" x14ac:dyDescent="0.3">
      <c r="A437" s="11" t="s">
        <v>26</v>
      </c>
      <c r="B437" s="11" t="s">
        <v>23</v>
      </c>
      <c r="C437" s="12" t="s">
        <v>31</v>
      </c>
      <c r="D437" s="12" t="s">
        <v>34</v>
      </c>
      <c r="E437" s="11">
        <v>877</v>
      </c>
      <c r="F437" s="12">
        <v>250</v>
      </c>
      <c r="G437" s="12">
        <v>125</v>
      </c>
      <c r="H437" s="8">
        <f t="shared" si="36"/>
        <v>328875</v>
      </c>
      <c r="I437" s="12">
        <v>9866.25</v>
      </c>
      <c r="J437" s="8">
        <f t="shared" si="37"/>
        <v>319008.75</v>
      </c>
      <c r="K437" s="12">
        <v>105240</v>
      </c>
      <c r="L437" s="8">
        <f t="shared" si="38"/>
        <v>213768.75</v>
      </c>
      <c r="M437" s="13">
        <v>41944</v>
      </c>
      <c r="N437" s="10">
        <f t="shared" si="39"/>
        <v>11</v>
      </c>
      <c r="O437" s="8" t="str">
        <f t="shared" si="40"/>
        <v>November</v>
      </c>
      <c r="P437" s="7">
        <f t="shared" si="41"/>
        <v>2014</v>
      </c>
    </row>
    <row r="438" spans="1:16" ht="15.75" customHeight="1" x14ac:dyDescent="0.3">
      <c r="A438" s="7" t="s">
        <v>16</v>
      </c>
      <c r="B438" s="7" t="s">
        <v>28</v>
      </c>
      <c r="C438" s="8" t="s">
        <v>32</v>
      </c>
      <c r="D438" s="8" t="s">
        <v>34</v>
      </c>
      <c r="E438" s="7">
        <v>2071</v>
      </c>
      <c r="F438" s="8">
        <v>260</v>
      </c>
      <c r="G438" s="8">
        <v>350</v>
      </c>
      <c r="H438" s="8">
        <f t="shared" si="36"/>
        <v>1263310</v>
      </c>
      <c r="I438" s="8">
        <v>65236.5</v>
      </c>
      <c r="J438" s="8">
        <f t="shared" si="37"/>
        <v>1198073.5</v>
      </c>
      <c r="K438" s="8">
        <v>538460</v>
      </c>
      <c r="L438" s="8">
        <f t="shared" si="38"/>
        <v>659613.5</v>
      </c>
      <c r="M438" s="9">
        <v>41883</v>
      </c>
      <c r="N438" s="10">
        <f t="shared" si="39"/>
        <v>9</v>
      </c>
      <c r="O438" s="8" t="str">
        <f t="shared" si="40"/>
        <v>September</v>
      </c>
      <c r="P438" s="7">
        <f t="shared" si="41"/>
        <v>2014</v>
      </c>
    </row>
    <row r="439" spans="1:16" ht="15.75" customHeight="1" x14ac:dyDescent="0.3">
      <c r="A439" s="11" t="s">
        <v>16</v>
      </c>
      <c r="B439" s="11" t="s">
        <v>17</v>
      </c>
      <c r="C439" s="12" t="s">
        <v>32</v>
      </c>
      <c r="D439" s="12" t="s">
        <v>34</v>
      </c>
      <c r="E439" s="11">
        <v>1269</v>
      </c>
      <c r="F439" s="12">
        <v>260</v>
      </c>
      <c r="G439" s="12">
        <v>350</v>
      </c>
      <c r="H439" s="8">
        <f t="shared" si="36"/>
        <v>774090</v>
      </c>
      <c r="I439" s="12">
        <v>39973.5</v>
      </c>
      <c r="J439" s="8">
        <f t="shared" si="37"/>
        <v>734116.5</v>
      </c>
      <c r="K439" s="12">
        <v>329940</v>
      </c>
      <c r="L439" s="8">
        <f t="shared" si="38"/>
        <v>404176.5</v>
      </c>
      <c r="M439" s="13">
        <v>41913</v>
      </c>
      <c r="N439" s="10">
        <f t="shared" si="39"/>
        <v>10</v>
      </c>
      <c r="O439" s="8" t="str">
        <f t="shared" si="40"/>
        <v>October</v>
      </c>
      <c r="P439" s="7">
        <f t="shared" si="41"/>
        <v>2014</v>
      </c>
    </row>
    <row r="440" spans="1:16" ht="15.75" customHeight="1" x14ac:dyDescent="0.3">
      <c r="A440" s="7" t="s">
        <v>21</v>
      </c>
      <c r="B440" s="7" t="s">
        <v>20</v>
      </c>
      <c r="C440" s="8" t="s">
        <v>32</v>
      </c>
      <c r="D440" s="8" t="s">
        <v>34</v>
      </c>
      <c r="E440" s="7">
        <v>970</v>
      </c>
      <c r="F440" s="8">
        <v>260</v>
      </c>
      <c r="G440" s="8">
        <v>15</v>
      </c>
      <c r="H440" s="8">
        <f t="shared" si="36"/>
        <v>266750</v>
      </c>
      <c r="I440" s="8">
        <v>1309.5</v>
      </c>
      <c r="J440" s="8">
        <f t="shared" si="37"/>
        <v>265440.5</v>
      </c>
      <c r="K440" s="8">
        <v>9700</v>
      </c>
      <c r="L440" s="8">
        <f t="shared" si="38"/>
        <v>255740.5</v>
      </c>
      <c r="M440" s="9">
        <v>41579</v>
      </c>
      <c r="N440" s="10">
        <f t="shared" si="39"/>
        <v>11</v>
      </c>
      <c r="O440" s="8" t="str">
        <f t="shared" si="40"/>
        <v>November</v>
      </c>
      <c r="P440" s="7">
        <f t="shared" si="41"/>
        <v>2013</v>
      </c>
    </row>
    <row r="441" spans="1:16" ht="15.75" customHeight="1" x14ac:dyDescent="0.3">
      <c r="A441" s="11" t="s">
        <v>16</v>
      </c>
      <c r="B441" s="11" t="s">
        <v>23</v>
      </c>
      <c r="C441" s="12" t="s">
        <v>32</v>
      </c>
      <c r="D441" s="12" t="s">
        <v>34</v>
      </c>
      <c r="E441" s="11">
        <v>1694</v>
      </c>
      <c r="F441" s="12">
        <v>260</v>
      </c>
      <c r="G441" s="12">
        <v>20</v>
      </c>
      <c r="H441" s="8">
        <f t="shared" si="36"/>
        <v>474320</v>
      </c>
      <c r="I441" s="12">
        <v>3049.2</v>
      </c>
      <c r="J441" s="8">
        <f t="shared" si="37"/>
        <v>471270.8</v>
      </c>
      <c r="K441" s="12">
        <v>16940</v>
      </c>
      <c r="L441" s="8">
        <f t="shared" si="38"/>
        <v>454330.8</v>
      </c>
      <c r="M441" s="13">
        <v>41944</v>
      </c>
      <c r="N441" s="10">
        <f t="shared" si="39"/>
        <v>11</v>
      </c>
      <c r="O441" s="8" t="str">
        <f t="shared" si="40"/>
        <v>November</v>
      </c>
      <c r="P441" s="7">
        <f t="shared" si="41"/>
        <v>2014</v>
      </c>
    </row>
    <row r="442" spans="1:16" ht="15.75" customHeight="1" x14ac:dyDescent="0.3">
      <c r="A442" s="7" t="s">
        <v>16</v>
      </c>
      <c r="B442" s="7" t="s">
        <v>20</v>
      </c>
      <c r="C442" s="8" t="s">
        <v>18</v>
      </c>
      <c r="D442" s="8" t="s">
        <v>34</v>
      </c>
      <c r="E442" s="7">
        <v>663</v>
      </c>
      <c r="F442" s="8">
        <v>3</v>
      </c>
      <c r="G442" s="8">
        <v>20</v>
      </c>
      <c r="H442" s="8">
        <f t="shared" si="36"/>
        <v>15249</v>
      </c>
      <c r="I442" s="8">
        <v>1193.4000000000001</v>
      </c>
      <c r="J442" s="8">
        <f t="shared" si="37"/>
        <v>14055.6</v>
      </c>
      <c r="K442" s="8">
        <v>6630</v>
      </c>
      <c r="L442" s="8">
        <f t="shared" si="38"/>
        <v>7425.6</v>
      </c>
      <c r="M442" s="9">
        <v>41760</v>
      </c>
      <c r="N442" s="10">
        <f t="shared" si="39"/>
        <v>5</v>
      </c>
      <c r="O442" s="8" t="str">
        <f t="shared" si="40"/>
        <v>May</v>
      </c>
      <c r="P442" s="7">
        <f t="shared" si="41"/>
        <v>2014</v>
      </c>
    </row>
    <row r="443" spans="1:16" ht="15.75" customHeight="1" x14ac:dyDescent="0.3">
      <c r="A443" s="11" t="s">
        <v>16</v>
      </c>
      <c r="B443" s="11" t="s">
        <v>17</v>
      </c>
      <c r="C443" s="12" t="s">
        <v>18</v>
      </c>
      <c r="D443" s="12" t="s">
        <v>34</v>
      </c>
      <c r="E443" s="11">
        <v>819</v>
      </c>
      <c r="F443" s="12">
        <v>3</v>
      </c>
      <c r="G443" s="12">
        <v>7</v>
      </c>
      <c r="H443" s="8">
        <f t="shared" si="36"/>
        <v>8190</v>
      </c>
      <c r="I443" s="12">
        <v>515.97</v>
      </c>
      <c r="J443" s="8">
        <f t="shared" si="37"/>
        <v>7674.03</v>
      </c>
      <c r="K443" s="12">
        <v>4095</v>
      </c>
      <c r="L443" s="8">
        <f t="shared" si="38"/>
        <v>3579.0299999999997</v>
      </c>
      <c r="M443" s="13">
        <v>41821</v>
      </c>
      <c r="N443" s="10">
        <f t="shared" si="39"/>
        <v>7</v>
      </c>
      <c r="O443" s="8" t="str">
        <f t="shared" si="40"/>
        <v>July</v>
      </c>
      <c r="P443" s="7">
        <f t="shared" si="41"/>
        <v>2014</v>
      </c>
    </row>
    <row r="444" spans="1:16" ht="15.75" customHeight="1" x14ac:dyDescent="0.3">
      <c r="A444" s="7" t="s">
        <v>25</v>
      </c>
      <c r="B444" s="7" t="s">
        <v>20</v>
      </c>
      <c r="C444" s="8" t="s">
        <v>18</v>
      </c>
      <c r="D444" s="8" t="s">
        <v>34</v>
      </c>
      <c r="E444" s="7">
        <v>1580</v>
      </c>
      <c r="F444" s="8">
        <v>3</v>
      </c>
      <c r="G444" s="8">
        <v>12</v>
      </c>
      <c r="H444" s="8">
        <f t="shared" si="36"/>
        <v>23700</v>
      </c>
      <c r="I444" s="8">
        <v>1706.4</v>
      </c>
      <c r="J444" s="8">
        <f t="shared" si="37"/>
        <v>21993.599999999999</v>
      </c>
      <c r="K444" s="8">
        <v>4740</v>
      </c>
      <c r="L444" s="8">
        <f t="shared" si="38"/>
        <v>17253.599999999999</v>
      </c>
      <c r="M444" s="9">
        <v>41883</v>
      </c>
      <c r="N444" s="10">
        <f t="shared" si="39"/>
        <v>9</v>
      </c>
      <c r="O444" s="8" t="str">
        <f t="shared" si="40"/>
        <v>September</v>
      </c>
      <c r="P444" s="7">
        <f t="shared" si="41"/>
        <v>2014</v>
      </c>
    </row>
    <row r="445" spans="1:16" ht="15.75" customHeight="1" x14ac:dyDescent="0.3">
      <c r="A445" s="11" t="s">
        <v>16</v>
      </c>
      <c r="B445" s="11" t="s">
        <v>23</v>
      </c>
      <c r="C445" s="12" t="s">
        <v>18</v>
      </c>
      <c r="D445" s="12" t="s">
        <v>34</v>
      </c>
      <c r="E445" s="11">
        <v>521</v>
      </c>
      <c r="F445" s="12">
        <v>3</v>
      </c>
      <c r="G445" s="12">
        <v>7</v>
      </c>
      <c r="H445" s="8">
        <f t="shared" si="36"/>
        <v>5210</v>
      </c>
      <c r="I445" s="12">
        <v>328.23</v>
      </c>
      <c r="J445" s="8">
        <f t="shared" si="37"/>
        <v>4881.7700000000004</v>
      </c>
      <c r="K445" s="12">
        <v>2605</v>
      </c>
      <c r="L445" s="8">
        <f t="shared" si="38"/>
        <v>2276.7700000000004</v>
      </c>
      <c r="M445" s="13">
        <v>41974</v>
      </c>
      <c r="N445" s="10">
        <f t="shared" si="39"/>
        <v>12</v>
      </c>
      <c r="O445" s="8" t="str">
        <f t="shared" si="40"/>
        <v>December</v>
      </c>
      <c r="P445" s="7">
        <f t="shared" si="41"/>
        <v>2014</v>
      </c>
    </row>
    <row r="446" spans="1:16" ht="15.75" customHeight="1" x14ac:dyDescent="0.3">
      <c r="A446" s="7" t="s">
        <v>16</v>
      </c>
      <c r="B446" s="7" t="s">
        <v>28</v>
      </c>
      <c r="C446" s="8" t="s">
        <v>29</v>
      </c>
      <c r="D446" s="8" t="s">
        <v>34</v>
      </c>
      <c r="E446" s="7">
        <v>973</v>
      </c>
      <c r="F446" s="8">
        <v>10</v>
      </c>
      <c r="G446" s="8">
        <v>20</v>
      </c>
      <c r="H446" s="8">
        <f t="shared" si="36"/>
        <v>29190</v>
      </c>
      <c r="I446" s="8">
        <v>1751.4</v>
      </c>
      <c r="J446" s="8">
        <f t="shared" si="37"/>
        <v>27438.6</v>
      </c>
      <c r="K446" s="8">
        <v>9730</v>
      </c>
      <c r="L446" s="8">
        <f t="shared" si="38"/>
        <v>17708.599999999999</v>
      </c>
      <c r="M446" s="9">
        <v>41699</v>
      </c>
      <c r="N446" s="10">
        <f t="shared" si="39"/>
        <v>3</v>
      </c>
      <c r="O446" s="8" t="str">
        <f t="shared" si="40"/>
        <v>March</v>
      </c>
      <c r="P446" s="7">
        <f t="shared" si="41"/>
        <v>2014</v>
      </c>
    </row>
    <row r="447" spans="1:16" ht="15.75" customHeight="1" x14ac:dyDescent="0.3">
      <c r="A447" s="11" t="s">
        <v>16</v>
      </c>
      <c r="B447" s="11" t="s">
        <v>23</v>
      </c>
      <c r="C447" s="12" t="s">
        <v>29</v>
      </c>
      <c r="D447" s="12" t="s">
        <v>34</v>
      </c>
      <c r="E447" s="11">
        <v>1038</v>
      </c>
      <c r="F447" s="12">
        <v>10</v>
      </c>
      <c r="G447" s="12">
        <v>20</v>
      </c>
      <c r="H447" s="8">
        <f t="shared" si="36"/>
        <v>31140</v>
      </c>
      <c r="I447" s="12">
        <v>1868.4</v>
      </c>
      <c r="J447" s="8">
        <f t="shared" si="37"/>
        <v>29271.599999999999</v>
      </c>
      <c r="K447" s="12">
        <v>10380</v>
      </c>
      <c r="L447" s="8">
        <f t="shared" si="38"/>
        <v>18891.599999999999</v>
      </c>
      <c r="M447" s="13">
        <v>41791</v>
      </c>
      <c r="N447" s="10">
        <f t="shared" si="39"/>
        <v>6</v>
      </c>
      <c r="O447" s="8" t="str">
        <f t="shared" si="40"/>
        <v>June</v>
      </c>
      <c r="P447" s="7">
        <f t="shared" si="41"/>
        <v>2014</v>
      </c>
    </row>
    <row r="448" spans="1:16" ht="15.75" customHeight="1" x14ac:dyDescent="0.3">
      <c r="A448" s="7" t="s">
        <v>16</v>
      </c>
      <c r="B448" s="7" t="s">
        <v>20</v>
      </c>
      <c r="C448" s="8" t="s">
        <v>29</v>
      </c>
      <c r="D448" s="8" t="s">
        <v>34</v>
      </c>
      <c r="E448" s="7">
        <v>360</v>
      </c>
      <c r="F448" s="8">
        <v>10</v>
      </c>
      <c r="G448" s="8">
        <v>7</v>
      </c>
      <c r="H448" s="8">
        <f t="shared" si="36"/>
        <v>6120</v>
      </c>
      <c r="I448" s="8">
        <v>226.8</v>
      </c>
      <c r="J448" s="8">
        <f t="shared" si="37"/>
        <v>5893.2</v>
      </c>
      <c r="K448" s="8">
        <v>1800</v>
      </c>
      <c r="L448" s="8">
        <f t="shared" si="38"/>
        <v>4093.2</v>
      </c>
      <c r="M448" s="9">
        <v>41913</v>
      </c>
      <c r="N448" s="10">
        <f t="shared" si="39"/>
        <v>10</v>
      </c>
      <c r="O448" s="8" t="str">
        <f t="shared" si="40"/>
        <v>October</v>
      </c>
      <c r="P448" s="7">
        <f t="shared" si="41"/>
        <v>2014</v>
      </c>
    </row>
    <row r="449" spans="1:16" ht="15.75" customHeight="1" x14ac:dyDescent="0.3">
      <c r="A449" s="11" t="s">
        <v>25</v>
      </c>
      <c r="B449" s="11" t="s">
        <v>22</v>
      </c>
      <c r="C449" s="12" t="s">
        <v>30</v>
      </c>
      <c r="D449" s="12" t="s">
        <v>34</v>
      </c>
      <c r="E449" s="11">
        <v>1967</v>
      </c>
      <c r="F449" s="12">
        <v>120</v>
      </c>
      <c r="G449" s="12">
        <v>12</v>
      </c>
      <c r="H449" s="8">
        <f t="shared" si="36"/>
        <v>259644</v>
      </c>
      <c r="I449" s="12">
        <v>2124.36</v>
      </c>
      <c r="J449" s="8">
        <f t="shared" si="37"/>
        <v>257519.64</v>
      </c>
      <c r="K449" s="12">
        <v>5901</v>
      </c>
      <c r="L449" s="8">
        <f t="shared" si="38"/>
        <v>251618.64</v>
      </c>
      <c r="M449" s="13">
        <v>41699</v>
      </c>
      <c r="N449" s="10">
        <f t="shared" si="39"/>
        <v>3</v>
      </c>
      <c r="O449" s="8" t="str">
        <f t="shared" si="40"/>
        <v>March</v>
      </c>
      <c r="P449" s="7">
        <f t="shared" si="41"/>
        <v>2014</v>
      </c>
    </row>
    <row r="450" spans="1:16" ht="15.75" customHeight="1" x14ac:dyDescent="0.3">
      <c r="A450" s="7" t="s">
        <v>21</v>
      </c>
      <c r="B450" s="7" t="s">
        <v>23</v>
      </c>
      <c r="C450" s="8" t="s">
        <v>30</v>
      </c>
      <c r="D450" s="8" t="s">
        <v>34</v>
      </c>
      <c r="E450" s="7">
        <v>2628</v>
      </c>
      <c r="F450" s="8">
        <v>120</v>
      </c>
      <c r="G450" s="8">
        <v>15</v>
      </c>
      <c r="H450" s="8">
        <f t="shared" si="36"/>
        <v>354780</v>
      </c>
      <c r="I450" s="8">
        <v>3547.8</v>
      </c>
      <c r="J450" s="8">
        <f t="shared" si="37"/>
        <v>351232.2</v>
      </c>
      <c r="K450" s="8">
        <v>26280</v>
      </c>
      <c r="L450" s="8">
        <f t="shared" si="38"/>
        <v>324952.2</v>
      </c>
      <c r="M450" s="9">
        <v>41730</v>
      </c>
      <c r="N450" s="10">
        <f t="shared" si="39"/>
        <v>4</v>
      </c>
      <c r="O450" s="8" t="str">
        <f t="shared" si="40"/>
        <v>April</v>
      </c>
      <c r="P450" s="7">
        <f t="shared" si="41"/>
        <v>2014</v>
      </c>
    </row>
    <row r="451" spans="1:16" ht="15.75" customHeight="1" x14ac:dyDescent="0.3">
      <c r="A451" s="11" t="s">
        <v>16</v>
      </c>
      <c r="B451" s="11" t="s">
        <v>20</v>
      </c>
      <c r="C451" s="12" t="s">
        <v>31</v>
      </c>
      <c r="D451" s="12" t="s">
        <v>34</v>
      </c>
      <c r="E451" s="11">
        <v>360</v>
      </c>
      <c r="F451" s="12">
        <v>250</v>
      </c>
      <c r="G451" s="12">
        <v>7</v>
      </c>
      <c r="H451" s="8">
        <f t="shared" ref="H451:H514" si="42">E451*(F451+G451)</f>
        <v>92520</v>
      </c>
      <c r="I451" s="12">
        <v>226.8</v>
      </c>
      <c r="J451" s="8">
        <f t="shared" ref="J451:J514" si="43">H451-I451</f>
        <v>92293.2</v>
      </c>
      <c r="K451" s="12">
        <v>1800</v>
      </c>
      <c r="L451" s="8">
        <f t="shared" ref="L451:L514" si="44">J451-K451</f>
        <v>90493.2</v>
      </c>
      <c r="M451" s="13">
        <v>41913</v>
      </c>
      <c r="N451" s="10">
        <f t="shared" ref="N451:N514" si="45">MONTH(M451)</f>
        <v>10</v>
      </c>
      <c r="O451" s="8" t="str">
        <f t="shared" ref="O451:O514" si="46">TEXT(M451,"MMMM")</f>
        <v>October</v>
      </c>
      <c r="P451" s="7">
        <f t="shared" ref="P451:P514" si="47">YEAR(M451)</f>
        <v>2014</v>
      </c>
    </row>
    <row r="452" spans="1:16" ht="15.75" customHeight="1" x14ac:dyDescent="0.3">
      <c r="A452" s="7" t="s">
        <v>16</v>
      </c>
      <c r="B452" s="7" t="s">
        <v>22</v>
      </c>
      <c r="C452" s="8" t="s">
        <v>31</v>
      </c>
      <c r="D452" s="8" t="s">
        <v>34</v>
      </c>
      <c r="E452" s="7">
        <v>2682</v>
      </c>
      <c r="F452" s="8">
        <v>250</v>
      </c>
      <c r="G452" s="8">
        <v>20</v>
      </c>
      <c r="H452" s="8">
        <f t="shared" si="42"/>
        <v>724140</v>
      </c>
      <c r="I452" s="8">
        <v>4827.6000000000004</v>
      </c>
      <c r="J452" s="8">
        <f t="shared" si="43"/>
        <v>719312.4</v>
      </c>
      <c r="K452" s="8">
        <v>26820</v>
      </c>
      <c r="L452" s="8">
        <f t="shared" si="44"/>
        <v>692492.4</v>
      </c>
      <c r="M452" s="9">
        <v>41579</v>
      </c>
      <c r="N452" s="10">
        <f t="shared" si="45"/>
        <v>11</v>
      </c>
      <c r="O452" s="8" t="str">
        <f t="shared" si="46"/>
        <v>November</v>
      </c>
      <c r="P452" s="7">
        <f t="shared" si="47"/>
        <v>2013</v>
      </c>
    </row>
    <row r="453" spans="1:16" ht="15.75" customHeight="1" x14ac:dyDescent="0.3">
      <c r="A453" s="11" t="s">
        <v>16</v>
      </c>
      <c r="B453" s="11" t="s">
        <v>23</v>
      </c>
      <c r="C453" s="12" t="s">
        <v>31</v>
      </c>
      <c r="D453" s="12" t="s">
        <v>34</v>
      </c>
      <c r="E453" s="11">
        <v>521</v>
      </c>
      <c r="F453" s="12">
        <v>250</v>
      </c>
      <c r="G453" s="12">
        <v>7</v>
      </c>
      <c r="H453" s="8">
        <f t="shared" si="42"/>
        <v>133897</v>
      </c>
      <c r="I453" s="12">
        <v>328.23</v>
      </c>
      <c r="J453" s="8">
        <f t="shared" si="43"/>
        <v>133568.76999999999</v>
      </c>
      <c r="K453" s="12">
        <v>2605</v>
      </c>
      <c r="L453" s="8">
        <f t="shared" si="44"/>
        <v>130963.76999999999</v>
      </c>
      <c r="M453" s="13">
        <v>41974</v>
      </c>
      <c r="N453" s="10">
        <f t="shared" si="45"/>
        <v>12</v>
      </c>
      <c r="O453" s="8" t="str">
        <f t="shared" si="46"/>
        <v>December</v>
      </c>
      <c r="P453" s="7">
        <f t="shared" si="47"/>
        <v>2014</v>
      </c>
    </row>
    <row r="454" spans="1:16" ht="15.75" customHeight="1" x14ac:dyDescent="0.3">
      <c r="A454" s="7" t="s">
        <v>16</v>
      </c>
      <c r="B454" s="7" t="s">
        <v>23</v>
      </c>
      <c r="C454" s="8" t="s">
        <v>32</v>
      </c>
      <c r="D454" s="8" t="s">
        <v>34</v>
      </c>
      <c r="E454" s="7">
        <v>1038</v>
      </c>
      <c r="F454" s="8">
        <v>260</v>
      </c>
      <c r="G454" s="8">
        <v>20</v>
      </c>
      <c r="H454" s="8">
        <f t="shared" si="42"/>
        <v>290640</v>
      </c>
      <c r="I454" s="8">
        <v>1868.4</v>
      </c>
      <c r="J454" s="8">
        <f t="shared" si="43"/>
        <v>288771.59999999998</v>
      </c>
      <c r="K454" s="8">
        <v>10380</v>
      </c>
      <c r="L454" s="8">
        <f t="shared" si="44"/>
        <v>278391.59999999998</v>
      </c>
      <c r="M454" s="9">
        <v>41791</v>
      </c>
      <c r="N454" s="10">
        <f t="shared" si="45"/>
        <v>6</v>
      </c>
      <c r="O454" s="8" t="str">
        <f t="shared" si="46"/>
        <v>June</v>
      </c>
      <c r="P454" s="7">
        <f t="shared" si="47"/>
        <v>2014</v>
      </c>
    </row>
    <row r="455" spans="1:16" ht="15.75" customHeight="1" x14ac:dyDescent="0.3">
      <c r="A455" s="11" t="s">
        <v>21</v>
      </c>
      <c r="B455" s="11" t="s">
        <v>17</v>
      </c>
      <c r="C455" s="12" t="s">
        <v>32</v>
      </c>
      <c r="D455" s="12" t="s">
        <v>34</v>
      </c>
      <c r="E455" s="11">
        <v>1630.5</v>
      </c>
      <c r="F455" s="12">
        <v>260</v>
      </c>
      <c r="G455" s="12">
        <v>15</v>
      </c>
      <c r="H455" s="8">
        <f t="shared" si="42"/>
        <v>448387.5</v>
      </c>
      <c r="I455" s="12">
        <v>2201.1750000000002</v>
      </c>
      <c r="J455" s="8">
        <f t="shared" si="43"/>
        <v>446186.32500000001</v>
      </c>
      <c r="K455" s="12">
        <v>16305</v>
      </c>
      <c r="L455" s="8">
        <f t="shared" si="44"/>
        <v>429881.32500000001</v>
      </c>
      <c r="M455" s="13">
        <v>41821</v>
      </c>
      <c r="N455" s="10">
        <f t="shared" si="45"/>
        <v>7</v>
      </c>
      <c r="O455" s="8" t="str">
        <f t="shared" si="46"/>
        <v>July</v>
      </c>
      <c r="P455" s="7">
        <f t="shared" si="47"/>
        <v>2014</v>
      </c>
    </row>
    <row r="456" spans="1:16" ht="15.75" customHeight="1" x14ac:dyDescent="0.3">
      <c r="A456" s="7" t="s">
        <v>25</v>
      </c>
      <c r="B456" s="7" t="s">
        <v>22</v>
      </c>
      <c r="C456" s="8" t="s">
        <v>32</v>
      </c>
      <c r="D456" s="8" t="s">
        <v>34</v>
      </c>
      <c r="E456" s="7">
        <v>306</v>
      </c>
      <c r="F456" s="8">
        <v>260</v>
      </c>
      <c r="G456" s="8">
        <v>12</v>
      </c>
      <c r="H456" s="8">
        <f t="shared" si="42"/>
        <v>83232</v>
      </c>
      <c r="I456" s="8">
        <v>330.48</v>
      </c>
      <c r="J456" s="8">
        <f t="shared" si="43"/>
        <v>82901.52</v>
      </c>
      <c r="K456" s="8">
        <v>918</v>
      </c>
      <c r="L456" s="8">
        <f t="shared" si="44"/>
        <v>81983.520000000004</v>
      </c>
      <c r="M456" s="9">
        <v>41609</v>
      </c>
      <c r="N456" s="10">
        <f t="shared" si="45"/>
        <v>12</v>
      </c>
      <c r="O456" s="8" t="str">
        <f t="shared" si="46"/>
        <v>December</v>
      </c>
      <c r="P456" s="7">
        <f t="shared" si="47"/>
        <v>2013</v>
      </c>
    </row>
    <row r="457" spans="1:16" ht="15.75" customHeight="1" x14ac:dyDescent="0.3">
      <c r="A457" s="11" t="s">
        <v>25</v>
      </c>
      <c r="B457" s="11" t="s">
        <v>28</v>
      </c>
      <c r="C457" s="12" t="s">
        <v>18</v>
      </c>
      <c r="D457" s="12" t="s">
        <v>35</v>
      </c>
      <c r="E457" s="11">
        <v>386</v>
      </c>
      <c r="F457" s="12">
        <v>3</v>
      </c>
      <c r="G457" s="12">
        <v>12</v>
      </c>
      <c r="H457" s="8">
        <f t="shared" si="42"/>
        <v>5790</v>
      </c>
      <c r="I457" s="12">
        <v>463.2</v>
      </c>
      <c r="J457" s="8">
        <f t="shared" si="43"/>
        <v>5326.8</v>
      </c>
      <c r="K457" s="12">
        <v>1158</v>
      </c>
      <c r="L457" s="8">
        <f t="shared" si="44"/>
        <v>4168.8</v>
      </c>
      <c r="M457" s="13">
        <v>41548</v>
      </c>
      <c r="N457" s="10">
        <f t="shared" si="45"/>
        <v>10</v>
      </c>
      <c r="O457" s="8" t="str">
        <f t="shared" si="46"/>
        <v>October</v>
      </c>
      <c r="P457" s="7">
        <f t="shared" si="47"/>
        <v>2013</v>
      </c>
    </row>
    <row r="458" spans="1:16" ht="15.75" customHeight="1" x14ac:dyDescent="0.3">
      <c r="A458" s="7" t="s">
        <v>16</v>
      </c>
      <c r="B458" s="7" t="s">
        <v>28</v>
      </c>
      <c r="C458" s="8" t="s">
        <v>24</v>
      </c>
      <c r="D458" s="8" t="s">
        <v>35</v>
      </c>
      <c r="E458" s="7">
        <v>2328</v>
      </c>
      <c r="F458" s="8">
        <v>5</v>
      </c>
      <c r="G458" s="8">
        <v>7</v>
      </c>
      <c r="H458" s="8">
        <f t="shared" si="42"/>
        <v>27936</v>
      </c>
      <c r="I458" s="8">
        <v>1629.6</v>
      </c>
      <c r="J458" s="8">
        <f t="shared" si="43"/>
        <v>26306.400000000001</v>
      </c>
      <c r="K458" s="8">
        <v>11640</v>
      </c>
      <c r="L458" s="8">
        <f t="shared" si="44"/>
        <v>14666.400000000001</v>
      </c>
      <c r="M458" s="9">
        <v>41883</v>
      </c>
      <c r="N458" s="10">
        <f t="shared" si="45"/>
        <v>9</v>
      </c>
      <c r="O458" s="8" t="str">
        <f t="shared" si="46"/>
        <v>September</v>
      </c>
      <c r="P458" s="7">
        <f t="shared" si="47"/>
        <v>2014</v>
      </c>
    </row>
    <row r="459" spans="1:16" ht="15.75" customHeight="1" x14ac:dyDescent="0.3">
      <c r="A459" s="11" t="s">
        <v>25</v>
      </c>
      <c r="B459" s="11" t="s">
        <v>28</v>
      </c>
      <c r="C459" s="12" t="s">
        <v>29</v>
      </c>
      <c r="D459" s="12" t="s">
        <v>35</v>
      </c>
      <c r="E459" s="11">
        <v>386</v>
      </c>
      <c r="F459" s="12">
        <v>10</v>
      </c>
      <c r="G459" s="12">
        <v>12</v>
      </c>
      <c r="H459" s="8">
        <f t="shared" si="42"/>
        <v>8492</v>
      </c>
      <c r="I459" s="12">
        <v>463.2</v>
      </c>
      <c r="J459" s="8">
        <f t="shared" si="43"/>
        <v>8028.8</v>
      </c>
      <c r="K459" s="12">
        <v>1158</v>
      </c>
      <c r="L459" s="8">
        <f t="shared" si="44"/>
        <v>6870.8</v>
      </c>
      <c r="M459" s="13">
        <v>41548</v>
      </c>
      <c r="N459" s="10">
        <f t="shared" si="45"/>
        <v>10</v>
      </c>
      <c r="O459" s="8" t="str">
        <f t="shared" si="46"/>
        <v>October</v>
      </c>
      <c r="P459" s="7">
        <f t="shared" si="47"/>
        <v>2013</v>
      </c>
    </row>
    <row r="460" spans="1:16" ht="15.75" customHeight="1" x14ac:dyDescent="0.3">
      <c r="A460" s="7" t="s">
        <v>26</v>
      </c>
      <c r="B460" s="7" t="s">
        <v>28</v>
      </c>
      <c r="C460" s="8" t="s">
        <v>18</v>
      </c>
      <c r="D460" s="8" t="s">
        <v>35</v>
      </c>
      <c r="E460" s="7">
        <v>3445.5</v>
      </c>
      <c r="F460" s="8">
        <v>3</v>
      </c>
      <c r="G460" s="8">
        <v>125</v>
      </c>
      <c r="H460" s="8">
        <f t="shared" si="42"/>
        <v>441024</v>
      </c>
      <c r="I460" s="8">
        <v>43068.75</v>
      </c>
      <c r="J460" s="8">
        <f t="shared" si="43"/>
        <v>397955.25</v>
      </c>
      <c r="K460" s="8">
        <v>413460</v>
      </c>
      <c r="L460" s="8">
        <f t="shared" si="44"/>
        <v>-15504.75</v>
      </c>
      <c r="M460" s="9">
        <v>41730</v>
      </c>
      <c r="N460" s="10">
        <f t="shared" si="45"/>
        <v>4</v>
      </c>
      <c r="O460" s="8" t="str">
        <f t="shared" si="46"/>
        <v>April</v>
      </c>
      <c r="P460" s="7">
        <f t="shared" si="47"/>
        <v>2014</v>
      </c>
    </row>
    <row r="461" spans="1:16" ht="15.75" customHeight="1" x14ac:dyDescent="0.3">
      <c r="A461" s="11" t="s">
        <v>26</v>
      </c>
      <c r="B461" s="11" t="s">
        <v>22</v>
      </c>
      <c r="C461" s="12" t="s">
        <v>18</v>
      </c>
      <c r="D461" s="12" t="s">
        <v>35</v>
      </c>
      <c r="E461" s="11">
        <v>1482</v>
      </c>
      <c r="F461" s="12">
        <v>3</v>
      </c>
      <c r="G461" s="12">
        <v>125</v>
      </c>
      <c r="H461" s="8">
        <f t="shared" si="42"/>
        <v>189696</v>
      </c>
      <c r="I461" s="12">
        <v>18525</v>
      </c>
      <c r="J461" s="8">
        <f t="shared" si="43"/>
        <v>171171</v>
      </c>
      <c r="K461" s="12">
        <v>177840</v>
      </c>
      <c r="L461" s="8">
        <f t="shared" si="44"/>
        <v>-6669</v>
      </c>
      <c r="M461" s="13">
        <v>41609</v>
      </c>
      <c r="N461" s="10">
        <f t="shared" si="45"/>
        <v>12</v>
      </c>
      <c r="O461" s="8" t="str">
        <f t="shared" si="46"/>
        <v>December</v>
      </c>
      <c r="P461" s="7">
        <f t="shared" si="47"/>
        <v>2013</v>
      </c>
    </row>
    <row r="462" spans="1:16" ht="15.75" customHeight="1" x14ac:dyDescent="0.3">
      <c r="A462" s="7" t="s">
        <v>16</v>
      </c>
      <c r="B462" s="7" t="s">
        <v>28</v>
      </c>
      <c r="C462" s="8" t="s">
        <v>24</v>
      </c>
      <c r="D462" s="8" t="s">
        <v>35</v>
      </c>
      <c r="E462" s="7">
        <v>2313</v>
      </c>
      <c r="F462" s="8">
        <v>5</v>
      </c>
      <c r="G462" s="8">
        <v>350</v>
      </c>
      <c r="H462" s="8">
        <f t="shared" si="42"/>
        <v>821115</v>
      </c>
      <c r="I462" s="8">
        <v>80955</v>
      </c>
      <c r="J462" s="8">
        <f t="shared" si="43"/>
        <v>740160</v>
      </c>
      <c r="K462" s="8">
        <v>601380</v>
      </c>
      <c r="L462" s="8">
        <f t="shared" si="44"/>
        <v>138780</v>
      </c>
      <c r="M462" s="9">
        <v>41760</v>
      </c>
      <c r="N462" s="10">
        <f t="shared" si="45"/>
        <v>5</v>
      </c>
      <c r="O462" s="8" t="str">
        <f t="shared" si="46"/>
        <v>May</v>
      </c>
      <c r="P462" s="7">
        <f t="shared" si="47"/>
        <v>2014</v>
      </c>
    </row>
    <row r="463" spans="1:16" ht="15.75" customHeight="1" x14ac:dyDescent="0.3">
      <c r="A463" s="11" t="s">
        <v>26</v>
      </c>
      <c r="B463" s="11" t="s">
        <v>28</v>
      </c>
      <c r="C463" s="12" t="s">
        <v>24</v>
      </c>
      <c r="D463" s="12" t="s">
        <v>35</v>
      </c>
      <c r="E463" s="11">
        <v>1804</v>
      </c>
      <c r="F463" s="12">
        <v>5</v>
      </c>
      <c r="G463" s="12">
        <v>125</v>
      </c>
      <c r="H463" s="8">
        <f t="shared" si="42"/>
        <v>234520</v>
      </c>
      <c r="I463" s="12">
        <v>22550</v>
      </c>
      <c r="J463" s="8">
        <f t="shared" si="43"/>
        <v>211970</v>
      </c>
      <c r="K463" s="12">
        <v>216480</v>
      </c>
      <c r="L463" s="8">
        <f t="shared" si="44"/>
        <v>-4510</v>
      </c>
      <c r="M463" s="13">
        <v>41579</v>
      </c>
      <c r="N463" s="10">
        <f t="shared" si="45"/>
        <v>11</v>
      </c>
      <c r="O463" s="8" t="str">
        <f t="shared" si="46"/>
        <v>November</v>
      </c>
      <c r="P463" s="7">
        <f t="shared" si="47"/>
        <v>2013</v>
      </c>
    </row>
    <row r="464" spans="1:16" ht="15.75" customHeight="1" x14ac:dyDescent="0.3">
      <c r="A464" s="7" t="s">
        <v>21</v>
      </c>
      <c r="B464" s="7" t="s">
        <v>22</v>
      </c>
      <c r="C464" s="8" t="s">
        <v>24</v>
      </c>
      <c r="D464" s="8" t="s">
        <v>35</v>
      </c>
      <c r="E464" s="7">
        <v>2072</v>
      </c>
      <c r="F464" s="8">
        <v>5</v>
      </c>
      <c r="G464" s="8">
        <v>15</v>
      </c>
      <c r="H464" s="8">
        <f t="shared" si="42"/>
        <v>41440</v>
      </c>
      <c r="I464" s="8">
        <v>3108</v>
      </c>
      <c r="J464" s="8">
        <f t="shared" si="43"/>
        <v>38332</v>
      </c>
      <c r="K464" s="8">
        <v>20720</v>
      </c>
      <c r="L464" s="8">
        <f t="shared" si="44"/>
        <v>17612</v>
      </c>
      <c r="M464" s="9">
        <v>41974</v>
      </c>
      <c r="N464" s="10">
        <f t="shared" si="45"/>
        <v>12</v>
      </c>
      <c r="O464" s="8" t="str">
        <f t="shared" si="46"/>
        <v>December</v>
      </c>
      <c r="P464" s="7">
        <f t="shared" si="47"/>
        <v>2014</v>
      </c>
    </row>
    <row r="465" spans="1:16" ht="15.75" customHeight="1" x14ac:dyDescent="0.3">
      <c r="A465" s="11" t="s">
        <v>16</v>
      </c>
      <c r="B465" s="11" t="s">
        <v>22</v>
      </c>
      <c r="C465" s="12" t="s">
        <v>29</v>
      </c>
      <c r="D465" s="12" t="s">
        <v>35</v>
      </c>
      <c r="E465" s="11">
        <v>1954</v>
      </c>
      <c r="F465" s="12">
        <v>10</v>
      </c>
      <c r="G465" s="12">
        <v>20</v>
      </c>
      <c r="H465" s="8">
        <f t="shared" si="42"/>
        <v>58620</v>
      </c>
      <c r="I465" s="12">
        <v>3908</v>
      </c>
      <c r="J465" s="8">
        <f t="shared" si="43"/>
        <v>54712</v>
      </c>
      <c r="K465" s="12">
        <v>19540</v>
      </c>
      <c r="L465" s="8">
        <f t="shared" si="44"/>
        <v>35172</v>
      </c>
      <c r="M465" s="13">
        <v>41699</v>
      </c>
      <c r="N465" s="10">
        <f t="shared" si="45"/>
        <v>3</v>
      </c>
      <c r="O465" s="8" t="str">
        <f t="shared" si="46"/>
        <v>March</v>
      </c>
      <c r="P465" s="7">
        <f t="shared" si="47"/>
        <v>2014</v>
      </c>
    </row>
    <row r="466" spans="1:16" ht="15.75" customHeight="1" x14ac:dyDescent="0.3">
      <c r="A466" s="7" t="s">
        <v>27</v>
      </c>
      <c r="B466" s="7" t="s">
        <v>23</v>
      </c>
      <c r="C466" s="8" t="s">
        <v>29</v>
      </c>
      <c r="D466" s="8" t="s">
        <v>35</v>
      </c>
      <c r="E466" s="7">
        <v>591</v>
      </c>
      <c r="F466" s="8">
        <v>10</v>
      </c>
      <c r="G466" s="8">
        <v>300</v>
      </c>
      <c r="H466" s="8">
        <f t="shared" si="42"/>
        <v>183210</v>
      </c>
      <c r="I466" s="8">
        <v>17730</v>
      </c>
      <c r="J466" s="8">
        <f t="shared" si="43"/>
        <v>165480</v>
      </c>
      <c r="K466" s="8">
        <v>147750</v>
      </c>
      <c r="L466" s="8">
        <f t="shared" si="44"/>
        <v>17730</v>
      </c>
      <c r="M466" s="9">
        <v>41760</v>
      </c>
      <c r="N466" s="10">
        <f t="shared" si="45"/>
        <v>5</v>
      </c>
      <c r="O466" s="8" t="str">
        <f t="shared" si="46"/>
        <v>May</v>
      </c>
      <c r="P466" s="7">
        <f t="shared" si="47"/>
        <v>2014</v>
      </c>
    </row>
    <row r="467" spans="1:16" ht="15.75" customHeight="1" x14ac:dyDescent="0.3">
      <c r="A467" s="11" t="s">
        <v>21</v>
      </c>
      <c r="B467" s="11" t="s">
        <v>22</v>
      </c>
      <c r="C467" s="12" t="s">
        <v>29</v>
      </c>
      <c r="D467" s="12" t="s">
        <v>35</v>
      </c>
      <c r="E467" s="11">
        <v>2167</v>
      </c>
      <c r="F467" s="12">
        <v>10</v>
      </c>
      <c r="G467" s="12">
        <v>15</v>
      </c>
      <c r="H467" s="8">
        <f t="shared" si="42"/>
        <v>54175</v>
      </c>
      <c r="I467" s="12">
        <v>3250.5</v>
      </c>
      <c r="J467" s="8">
        <f t="shared" si="43"/>
        <v>50924.5</v>
      </c>
      <c r="K467" s="12">
        <v>21670</v>
      </c>
      <c r="L467" s="8">
        <f t="shared" si="44"/>
        <v>29254.5</v>
      </c>
      <c r="M467" s="13">
        <v>41548</v>
      </c>
      <c r="N467" s="10">
        <f t="shared" si="45"/>
        <v>10</v>
      </c>
      <c r="O467" s="8" t="str">
        <f t="shared" si="46"/>
        <v>October</v>
      </c>
      <c r="P467" s="7">
        <f t="shared" si="47"/>
        <v>2013</v>
      </c>
    </row>
    <row r="468" spans="1:16" ht="15.75" customHeight="1" x14ac:dyDescent="0.3">
      <c r="A468" s="7" t="s">
        <v>16</v>
      </c>
      <c r="B468" s="7" t="s">
        <v>20</v>
      </c>
      <c r="C468" s="8" t="s">
        <v>29</v>
      </c>
      <c r="D468" s="8" t="s">
        <v>35</v>
      </c>
      <c r="E468" s="7">
        <v>241</v>
      </c>
      <c r="F468" s="8">
        <v>10</v>
      </c>
      <c r="G468" s="8">
        <v>20</v>
      </c>
      <c r="H468" s="8">
        <f t="shared" si="42"/>
        <v>7230</v>
      </c>
      <c r="I468" s="8">
        <v>482</v>
      </c>
      <c r="J468" s="8">
        <f t="shared" si="43"/>
        <v>6748</v>
      </c>
      <c r="K468" s="8">
        <v>2410</v>
      </c>
      <c r="L468" s="8">
        <f t="shared" si="44"/>
        <v>4338</v>
      </c>
      <c r="M468" s="9">
        <v>41913</v>
      </c>
      <c r="N468" s="10">
        <f t="shared" si="45"/>
        <v>10</v>
      </c>
      <c r="O468" s="8" t="str">
        <f t="shared" si="46"/>
        <v>October</v>
      </c>
      <c r="P468" s="7">
        <f t="shared" si="47"/>
        <v>2014</v>
      </c>
    </row>
    <row r="469" spans="1:16" ht="15.75" customHeight="1" x14ac:dyDescent="0.3">
      <c r="A469" s="11" t="s">
        <v>21</v>
      </c>
      <c r="B469" s="11" t="s">
        <v>20</v>
      </c>
      <c r="C469" s="12" t="s">
        <v>30</v>
      </c>
      <c r="D469" s="12" t="s">
        <v>35</v>
      </c>
      <c r="E469" s="11">
        <v>681</v>
      </c>
      <c r="F469" s="12">
        <v>120</v>
      </c>
      <c r="G469" s="12">
        <v>15</v>
      </c>
      <c r="H469" s="8">
        <f t="shared" si="42"/>
        <v>91935</v>
      </c>
      <c r="I469" s="12">
        <v>1021.5</v>
      </c>
      <c r="J469" s="8">
        <f t="shared" si="43"/>
        <v>90913.5</v>
      </c>
      <c r="K469" s="12">
        <v>6810</v>
      </c>
      <c r="L469" s="8">
        <f t="shared" si="44"/>
        <v>84103.5</v>
      </c>
      <c r="M469" s="13">
        <v>41640</v>
      </c>
      <c r="N469" s="10">
        <f t="shared" si="45"/>
        <v>1</v>
      </c>
      <c r="O469" s="8" t="str">
        <f t="shared" si="46"/>
        <v>January</v>
      </c>
      <c r="P469" s="7">
        <f t="shared" si="47"/>
        <v>2014</v>
      </c>
    </row>
    <row r="470" spans="1:16" ht="15.75" customHeight="1" x14ac:dyDescent="0.3">
      <c r="A470" s="7" t="s">
        <v>21</v>
      </c>
      <c r="B470" s="7" t="s">
        <v>20</v>
      </c>
      <c r="C470" s="8" t="s">
        <v>30</v>
      </c>
      <c r="D470" s="8" t="s">
        <v>35</v>
      </c>
      <c r="E470" s="7">
        <v>510</v>
      </c>
      <c r="F470" s="8">
        <v>120</v>
      </c>
      <c r="G470" s="8">
        <v>15</v>
      </c>
      <c r="H470" s="8">
        <f t="shared" si="42"/>
        <v>68850</v>
      </c>
      <c r="I470" s="8">
        <v>765</v>
      </c>
      <c r="J470" s="8">
        <f t="shared" si="43"/>
        <v>68085</v>
      </c>
      <c r="K470" s="8">
        <v>5100</v>
      </c>
      <c r="L470" s="8">
        <f t="shared" si="44"/>
        <v>62985</v>
      </c>
      <c r="M470" s="9">
        <v>41730</v>
      </c>
      <c r="N470" s="10">
        <f t="shared" si="45"/>
        <v>4</v>
      </c>
      <c r="O470" s="8" t="str">
        <f t="shared" si="46"/>
        <v>April</v>
      </c>
      <c r="P470" s="7">
        <f t="shared" si="47"/>
        <v>2014</v>
      </c>
    </row>
    <row r="471" spans="1:16" ht="15.75" customHeight="1" x14ac:dyDescent="0.3">
      <c r="A471" s="11" t="s">
        <v>21</v>
      </c>
      <c r="B471" s="11" t="s">
        <v>28</v>
      </c>
      <c r="C471" s="12" t="s">
        <v>30</v>
      </c>
      <c r="D471" s="12" t="s">
        <v>35</v>
      </c>
      <c r="E471" s="11">
        <v>790</v>
      </c>
      <c r="F471" s="12">
        <v>120</v>
      </c>
      <c r="G471" s="12">
        <v>15</v>
      </c>
      <c r="H471" s="8">
        <f t="shared" si="42"/>
        <v>106650</v>
      </c>
      <c r="I471" s="12">
        <v>1185</v>
      </c>
      <c r="J471" s="8">
        <f t="shared" si="43"/>
        <v>105465</v>
      </c>
      <c r="K471" s="12">
        <v>7900</v>
      </c>
      <c r="L471" s="8">
        <f t="shared" si="44"/>
        <v>97565</v>
      </c>
      <c r="M471" s="13">
        <v>41760</v>
      </c>
      <c r="N471" s="10">
        <f t="shared" si="45"/>
        <v>5</v>
      </c>
      <c r="O471" s="8" t="str">
        <f t="shared" si="46"/>
        <v>May</v>
      </c>
      <c r="P471" s="7">
        <f t="shared" si="47"/>
        <v>2014</v>
      </c>
    </row>
    <row r="472" spans="1:16" ht="15.75" customHeight="1" x14ac:dyDescent="0.3">
      <c r="A472" s="7" t="s">
        <v>16</v>
      </c>
      <c r="B472" s="7" t="s">
        <v>22</v>
      </c>
      <c r="C472" s="8" t="s">
        <v>30</v>
      </c>
      <c r="D472" s="8" t="s">
        <v>35</v>
      </c>
      <c r="E472" s="7">
        <v>639</v>
      </c>
      <c r="F472" s="8">
        <v>120</v>
      </c>
      <c r="G472" s="8">
        <v>350</v>
      </c>
      <c r="H472" s="8">
        <f t="shared" si="42"/>
        <v>300330</v>
      </c>
      <c r="I472" s="8">
        <v>22365</v>
      </c>
      <c r="J472" s="8">
        <f t="shared" si="43"/>
        <v>277965</v>
      </c>
      <c r="K472" s="8">
        <v>166140</v>
      </c>
      <c r="L472" s="8">
        <f t="shared" si="44"/>
        <v>111825</v>
      </c>
      <c r="M472" s="9">
        <v>41821</v>
      </c>
      <c r="N472" s="10">
        <f t="shared" si="45"/>
        <v>7</v>
      </c>
      <c r="O472" s="8" t="str">
        <f t="shared" si="46"/>
        <v>July</v>
      </c>
      <c r="P472" s="7">
        <f t="shared" si="47"/>
        <v>2014</v>
      </c>
    </row>
    <row r="473" spans="1:16" ht="15.75" customHeight="1" x14ac:dyDescent="0.3">
      <c r="A473" s="11" t="s">
        <v>26</v>
      </c>
      <c r="B473" s="11" t="s">
        <v>28</v>
      </c>
      <c r="C473" s="12" t="s">
        <v>30</v>
      </c>
      <c r="D473" s="12" t="s">
        <v>35</v>
      </c>
      <c r="E473" s="11">
        <v>1596</v>
      </c>
      <c r="F473" s="12">
        <v>120</v>
      </c>
      <c r="G473" s="12">
        <v>125</v>
      </c>
      <c r="H473" s="8">
        <f t="shared" si="42"/>
        <v>391020</v>
      </c>
      <c r="I473" s="12">
        <v>19950</v>
      </c>
      <c r="J473" s="8">
        <f t="shared" si="43"/>
        <v>371070</v>
      </c>
      <c r="K473" s="12">
        <v>191520</v>
      </c>
      <c r="L473" s="8">
        <f t="shared" si="44"/>
        <v>179550</v>
      </c>
      <c r="M473" s="13">
        <v>41883</v>
      </c>
      <c r="N473" s="10">
        <f t="shared" si="45"/>
        <v>9</v>
      </c>
      <c r="O473" s="8" t="str">
        <f t="shared" si="46"/>
        <v>September</v>
      </c>
      <c r="P473" s="7">
        <f t="shared" si="47"/>
        <v>2014</v>
      </c>
    </row>
    <row r="474" spans="1:16" ht="15.75" customHeight="1" x14ac:dyDescent="0.3">
      <c r="A474" s="7" t="s">
        <v>27</v>
      </c>
      <c r="B474" s="7" t="s">
        <v>28</v>
      </c>
      <c r="C474" s="8" t="s">
        <v>30</v>
      </c>
      <c r="D474" s="8" t="s">
        <v>35</v>
      </c>
      <c r="E474" s="7">
        <v>2294</v>
      </c>
      <c r="F474" s="8">
        <v>120</v>
      </c>
      <c r="G474" s="8">
        <v>300</v>
      </c>
      <c r="H474" s="8">
        <f t="shared" si="42"/>
        <v>963480</v>
      </c>
      <c r="I474" s="8">
        <v>68820</v>
      </c>
      <c r="J474" s="8">
        <f t="shared" si="43"/>
        <v>894660</v>
      </c>
      <c r="K474" s="8">
        <v>573500</v>
      </c>
      <c r="L474" s="8">
        <f t="shared" si="44"/>
        <v>321160</v>
      </c>
      <c r="M474" s="9">
        <v>41548</v>
      </c>
      <c r="N474" s="10">
        <f t="shared" si="45"/>
        <v>10</v>
      </c>
      <c r="O474" s="8" t="str">
        <f t="shared" si="46"/>
        <v>October</v>
      </c>
      <c r="P474" s="7">
        <f t="shared" si="47"/>
        <v>2013</v>
      </c>
    </row>
    <row r="475" spans="1:16" ht="15.75" customHeight="1" x14ac:dyDescent="0.3">
      <c r="A475" s="11" t="s">
        <v>16</v>
      </c>
      <c r="B475" s="11" t="s">
        <v>20</v>
      </c>
      <c r="C475" s="12" t="s">
        <v>30</v>
      </c>
      <c r="D475" s="12" t="s">
        <v>35</v>
      </c>
      <c r="E475" s="11">
        <v>241</v>
      </c>
      <c r="F475" s="12">
        <v>120</v>
      </c>
      <c r="G475" s="12">
        <v>20</v>
      </c>
      <c r="H475" s="8">
        <f t="shared" si="42"/>
        <v>33740</v>
      </c>
      <c r="I475" s="12">
        <v>482</v>
      </c>
      <c r="J475" s="8">
        <f t="shared" si="43"/>
        <v>33258</v>
      </c>
      <c r="K475" s="12">
        <v>2410</v>
      </c>
      <c r="L475" s="8">
        <f t="shared" si="44"/>
        <v>30848</v>
      </c>
      <c r="M475" s="13">
        <v>41913</v>
      </c>
      <c r="N475" s="10">
        <f t="shared" si="45"/>
        <v>10</v>
      </c>
      <c r="O475" s="8" t="str">
        <f t="shared" si="46"/>
        <v>October</v>
      </c>
      <c r="P475" s="7">
        <f t="shared" si="47"/>
        <v>2014</v>
      </c>
    </row>
    <row r="476" spans="1:16" ht="15.75" customHeight="1" x14ac:dyDescent="0.3">
      <c r="A476" s="7" t="s">
        <v>16</v>
      </c>
      <c r="B476" s="7" t="s">
        <v>20</v>
      </c>
      <c r="C476" s="8" t="s">
        <v>30</v>
      </c>
      <c r="D476" s="8" t="s">
        <v>35</v>
      </c>
      <c r="E476" s="7">
        <v>2665</v>
      </c>
      <c r="F476" s="8">
        <v>120</v>
      </c>
      <c r="G476" s="8">
        <v>7</v>
      </c>
      <c r="H476" s="8">
        <f t="shared" si="42"/>
        <v>338455</v>
      </c>
      <c r="I476" s="8">
        <v>1865.5</v>
      </c>
      <c r="J476" s="8">
        <f t="shared" si="43"/>
        <v>336589.5</v>
      </c>
      <c r="K476" s="8">
        <v>13325</v>
      </c>
      <c r="L476" s="8">
        <f t="shared" si="44"/>
        <v>323264.5</v>
      </c>
      <c r="M476" s="9">
        <v>41944</v>
      </c>
      <c r="N476" s="10">
        <f t="shared" si="45"/>
        <v>11</v>
      </c>
      <c r="O476" s="8" t="str">
        <f t="shared" si="46"/>
        <v>November</v>
      </c>
      <c r="P476" s="7">
        <f t="shared" si="47"/>
        <v>2014</v>
      </c>
    </row>
    <row r="477" spans="1:16" ht="15.75" customHeight="1" x14ac:dyDescent="0.3">
      <c r="A477" s="11" t="s">
        <v>26</v>
      </c>
      <c r="B477" s="11" t="s">
        <v>17</v>
      </c>
      <c r="C477" s="12" t="s">
        <v>30</v>
      </c>
      <c r="D477" s="12" t="s">
        <v>35</v>
      </c>
      <c r="E477" s="11">
        <v>1916</v>
      </c>
      <c r="F477" s="12">
        <v>120</v>
      </c>
      <c r="G477" s="12">
        <v>125</v>
      </c>
      <c r="H477" s="8">
        <f t="shared" si="42"/>
        <v>469420</v>
      </c>
      <c r="I477" s="12">
        <v>23950</v>
      </c>
      <c r="J477" s="8">
        <f t="shared" si="43"/>
        <v>445470</v>
      </c>
      <c r="K477" s="12">
        <v>229920</v>
      </c>
      <c r="L477" s="8">
        <f t="shared" si="44"/>
        <v>215550</v>
      </c>
      <c r="M477" s="13">
        <v>41609</v>
      </c>
      <c r="N477" s="10">
        <f t="shared" si="45"/>
        <v>12</v>
      </c>
      <c r="O477" s="8" t="str">
        <f t="shared" si="46"/>
        <v>December</v>
      </c>
      <c r="P477" s="7">
        <f t="shared" si="47"/>
        <v>2013</v>
      </c>
    </row>
    <row r="478" spans="1:16" ht="15.75" customHeight="1" x14ac:dyDescent="0.3">
      <c r="A478" s="7" t="s">
        <v>27</v>
      </c>
      <c r="B478" s="7" t="s">
        <v>22</v>
      </c>
      <c r="C478" s="8" t="s">
        <v>30</v>
      </c>
      <c r="D478" s="8" t="s">
        <v>35</v>
      </c>
      <c r="E478" s="7">
        <v>853</v>
      </c>
      <c r="F478" s="8">
        <v>120</v>
      </c>
      <c r="G478" s="8">
        <v>300</v>
      </c>
      <c r="H478" s="8">
        <f t="shared" si="42"/>
        <v>358260</v>
      </c>
      <c r="I478" s="8">
        <v>25590</v>
      </c>
      <c r="J478" s="8">
        <f t="shared" si="43"/>
        <v>332670</v>
      </c>
      <c r="K478" s="8">
        <v>213250</v>
      </c>
      <c r="L478" s="8">
        <f t="shared" si="44"/>
        <v>119420</v>
      </c>
      <c r="M478" s="9">
        <v>41974</v>
      </c>
      <c r="N478" s="10">
        <f t="shared" si="45"/>
        <v>12</v>
      </c>
      <c r="O478" s="8" t="str">
        <f t="shared" si="46"/>
        <v>December</v>
      </c>
      <c r="P478" s="7">
        <f t="shared" si="47"/>
        <v>2014</v>
      </c>
    </row>
    <row r="479" spans="1:16" ht="15.75" customHeight="1" x14ac:dyDescent="0.3">
      <c r="A479" s="11" t="s">
        <v>26</v>
      </c>
      <c r="B479" s="11" t="s">
        <v>23</v>
      </c>
      <c r="C479" s="12" t="s">
        <v>31</v>
      </c>
      <c r="D479" s="12" t="s">
        <v>35</v>
      </c>
      <c r="E479" s="11">
        <v>341</v>
      </c>
      <c r="F479" s="12">
        <v>250</v>
      </c>
      <c r="G479" s="12">
        <v>125</v>
      </c>
      <c r="H479" s="8">
        <f t="shared" si="42"/>
        <v>127875</v>
      </c>
      <c r="I479" s="12">
        <v>4262.5</v>
      </c>
      <c r="J479" s="8">
        <f t="shared" si="43"/>
        <v>123612.5</v>
      </c>
      <c r="K479" s="12">
        <v>40920</v>
      </c>
      <c r="L479" s="8">
        <f t="shared" si="44"/>
        <v>82692.5</v>
      </c>
      <c r="M479" s="13">
        <v>41760</v>
      </c>
      <c r="N479" s="10">
        <f t="shared" si="45"/>
        <v>5</v>
      </c>
      <c r="O479" s="8" t="str">
        <f t="shared" si="46"/>
        <v>May</v>
      </c>
      <c r="P479" s="7">
        <f t="shared" si="47"/>
        <v>2014</v>
      </c>
    </row>
    <row r="480" spans="1:16" ht="15.75" customHeight="1" x14ac:dyDescent="0.3">
      <c r="A480" s="7" t="s">
        <v>21</v>
      </c>
      <c r="B480" s="7" t="s">
        <v>23</v>
      </c>
      <c r="C480" s="8" t="s">
        <v>31</v>
      </c>
      <c r="D480" s="8" t="s">
        <v>35</v>
      </c>
      <c r="E480" s="7">
        <v>641</v>
      </c>
      <c r="F480" s="8">
        <v>250</v>
      </c>
      <c r="G480" s="8">
        <v>15</v>
      </c>
      <c r="H480" s="8">
        <f t="shared" si="42"/>
        <v>169865</v>
      </c>
      <c r="I480" s="8">
        <v>961.5</v>
      </c>
      <c r="J480" s="8">
        <f t="shared" si="43"/>
        <v>168903.5</v>
      </c>
      <c r="K480" s="8">
        <v>6410</v>
      </c>
      <c r="L480" s="8">
        <f t="shared" si="44"/>
        <v>162493.5</v>
      </c>
      <c r="M480" s="9">
        <v>41821</v>
      </c>
      <c r="N480" s="10">
        <f t="shared" si="45"/>
        <v>7</v>
      </c>
      <c r="O480" s="8" t="str">
        <f t="shared" si="46"/>
        <v>July</v>
      </c>
      <c r="P480" s="7">
        <f t="shared" si="47"/>
        <v>2014</v>
      </c>
    </row>
    <row r="481" spans="1:16" ht="15.75" customHeight="1" x14ac:dyDescent="0.3">
      <c r="A481" s="11" t="s">
        <v>16</v>
      </c>
      <c r="B481" s="11" t="s">
        <v>28</v>
      </c>
      <c r="C481" s="12" t="s">
        <v>31</v>
      </c>
      <c r="D481" s="12" t="s">
        <v>35</v>
      </c>
      <c r="E481" s="11">
        <v>2807</v>
      </c>
      <c r="F481" s="12">
        <v>250</v>
      </c>
      <c r="G481" s="12">
        <v>350</v>
      </c>
      <c r="H481" s="8">
        <f t="shared" si="42"/>
        <v>1684200</v>
      </c>
      <c r="I481" s="12">
        <v>98245</v>
      </c>
      <c r="J481" s="8">
        <f t="shared" si="43"/>
        <v>1585955</v>
      </c>
      <c r="K481" s="12">
        <v>729820</v>
      </c>
      <c r="L481" s="8">
        <f t="shared" si="44"/>
        <v>856135</v>
      </c>
      <c r="M481" s="13">
        <v>41852</v>
      </c>
      <c r="N481" s="10">
        <f t="shared" si="45"/>
        <v>8</v>
      </c>
      <c r="O481" s="8" t="str">
        <f t="shared" si="46"/>
        <v>August</v>
      </c>
      <c r="P481" s="7">
        <f t="shared" si="47"/>
        <v>2014</v>
      </c>
    </row>
    <row r="482" spans="1:16" ht="15.75" customHeight="1" x14ac:dyDescent="0.3">
      <c r="A482" s="7" t="s">
        <v>27</v>
      </c>
      <c r="B482" s="7" t="s">
        <v>23</v>
      </c>
      <c r="C482" s="8" t="s">
        <v>31</v>
      </c>
      <c r="D482" s="8" t="s">
        <v>35</v>
      </c>
      <c r="E482" s="7">
        <v>432</v>
      </c>
      <c r="F482" s="8">
        <v>250</v>
      </c>
      <c r="G482" s="8">
        <v>300</v>
      </c>
      <c r="H482" s="8">
        <f t="shared" si="42"/>
        <v>237600</v>
      </c>
      <c r="I482" s="8">
        <v>12960</v>
      </c>
      <c r="J482" s="8">
        <f t="shared" si="43"/>
        <v>224640</v>
      </c>
      <c r="K482" s="8">
        <v>108000</v>
      </c>
      <c r="L482" s="8">
        <f t="shared" si="44"/>
        <v>116640</v>
      </c>
      <c r="M482" s="9">
        <v>41883</v>
      </c>
      <c r="N482" s="10">
        <f t="shared" si="45"/>
        <v>9</v>
      </c>
      <c r="O482" s="8" t="str">
        <f t="shared" si="46"/>
        <v>September</v>
      </c>
      <c r="P482" s="7">
        <f t="shared" si="47"/>
        <v>2014</v>
      </c>
    </row>
    <row r="483" spans="1:16" ht="15.75" customHeight="1" x14ac:dyDescent="0.3">
      <c r="A483" s="11" t="s">
        <v>27</v>
      </c>
      <c r="B483" s="11" t="s">
        <v>28</v>
      </c>
      <c r="C483" s="12" t="s">
        <v>31</v>
      </c>
      <c r="D483" s="12" t="s">
        <v>35</v>
      </c>
      <c r="E483" s="11">
        <v>2294</v>
      </c>
      <c r="F483" s="12">
        <v>250</v>
      </c>
      <c r="G483" s="12">
        <v>300</v>
      </c>
      <c r="H483" s="8">
        <f t="shared" si="42"/>
        <v>1261700</v>
      </c>
      <c r="I483" s="12">
        <v>68820</v>
      </c>
      <c r="J483" s="8">
        <f t="shared" si="43"/>
        <v>1192880</v>
      </c>
      <c r="K483" s="12">
        <v>573500</v>
      </c>
      <c r="L483" s="8">
        <f t="shared" si="44"/>
        <v>619380</v>
      </c>
      <c r="M483" s="13">
        <v>41548</v>
      </c>
      <c r="N483" s="10">
        <f t="shared" si="45"/>
        <v>10</v>
      </c>
      <c r="O483" s="8" t="str">
        <f t="shared" si="46"/>
        <v>October</v>
      </c>
      <c r="P483" s="7">
        <f t="shared" si="47"/>
        <v>2013</v>
      </c>
    </row>
    <row r="484" spans="1:16" ht="15.75" customHeight="1" x14ac:dyDescent="0.3">
      <c r="A484" s="7" t="s">
        <v>21</v>
      </c>
      <c r="B484" s="7" t="s">
        <v>22</v>
      </c>
      <c r="C484" s="8" t="s">
        <v>31</v>
      </c>
      <c r="D484" s="8" t="s">
        <v>35</v>
      </c>
      <c r="E484" s="7">
        <v>2167</v>
      </c>
      <c r="F484" s="8">
        <v>250</v>
      </c>
      <c r="G484" s="8">
        <v>15</v>
      </c>
      <c r="H484" s="8">
        <f t="shared" si="42"/>
        <v>574255</v>
      </c>
      <c r="I484" s="8">
        <v>3250.5</v>
      </c>
      <c r="J484" s="8">
        <f t="shared" si="43"/>
        <v>571004.5</v>
      </c>
      <c r="K484" s="8">
        <v>21670</v>
      </c>
      <c r="L484" s="8">
        <f t="shared" si="44"/>
        <v>549334.5</v>
      </c>
      <c r="M484" s="9">
        <v>41548</v>
      </c>
      <c r="N484" s="10">
        <f t="shared" si="45"/>
        <v>10</v>
      </c>
      <c r="O484" s="8" t="str">
        <f t="shared" si="46"/>
        <v>October</v>
      </c>
      <c r="P484" s="7">
        <f t="shared" si="47"/>
        <v>2013</v>
      </c>
    </row>
    <row r="485" spans="1:16" ht="15.75" customHeight="1" x14ac:dyDescent="0.3">
      <c r="A485" s="11" t="s">
        <v>26</v>
      </c>
      <c r="B485" s="11" t="s">
        <v>17</v>
      </c>
      <c r="C485" s="12" t="s">
        <v>31</v>
      </c>
      <c r="D485" s="12" t="s">
        <v>35</v>
      </c>
      <c r="E485" s="11">
        <v>2529</v>
      </c>
      <c r="F485" s="12">
        <v>250</v>
      </c>
      <c r="G485" s="12">
        <v>125</v>
      </c>
      <c r="H485" s="8">
        <f t="shared" si="42"/>
        <v>948375</v>
      </c>
      <c r="I485" s="12">
        <v>31612.5</v>
      </c>
      <c r="J485" s="8">
        <f t="shared" si="43"/>
        <v>916762.5</v>
      </c>
      <c r="K485" s="12">
        <v>303480</v>
      </c>
      <c r="L485" s="8">
        <f t="shared" si="44"/>
        <v>613282.5</v>
      </c>
      <c r="M485" s="13">
        <v>41944</v>
      </c>
      <c r="N485" s="10">
        <f t="shared" si="45"/>
        <v>11</v>
      </c>
      <c r="O485" s="8" t="str">
        <f t="shared" si="46"/>
        <v>November</v>
      </c>
      <c r="P485" s="7">
        <f t="shared" si="47"/>
        <v>2014</v>
      </c>
    </row>
    <row r="486" spans="1:16" ht="15.75" customHeight="1" x14ac:dyDescent="0.3">
      <c r="A486" s="7" t="s">
        <v>16</v>
      </c>
      <c r="B486" s="7" t="s">
        <v>20</v>
      </c>
      <c r="C486" s="8" t="s">
        <v>31</v>
      </c>
      <c r="D486" s="8" t="s">
        <v>35</v>
      </c>
      <c r="E486" s="7">
        <v>1870</v>
      </c>
      <c r="F486" s="8">
        <v>250</v>
      </c>
      <c r="G486" s="8">
        <v>350</v>
      </c>
      <c r="H486" s="8">
        <f t="shared" si="42"/>
        <v>1122000</v>
      </c>
      <c r="I486" s="8">
        <v>65450</v>
      </c>
      <c r="J486" s="8">
        <f t="shared" si="43"/>
        <v>1056550</v>
      </c>
      <c r="K486" s="8">
        <v>486200</v>
      </c>
      <c r="L486" s="8">
        <f t="shared" si="44"/>
        <v>570350</v>
      </c>
      <c r="M486" s="9">
        <v>41609</v>
      </c>
      <c r="N486" s="10">
        <f t="shared" si="45"/>
        <v>12</v>
      </c>
      <c r="O486" s="8" t="str">
        <f t="shared" si="46"/>
        <v>December</v>
      </c>
      <c r="P486" s="7">
        <f t="shared" si="47"/>
        <v>2013</v>
      </c>
    </row>
    <row r="487" spans="1:16" ht="15.75" customHeight="1" x14ac:dyDescent="0.3">
      <c r="A487" s="11" t="s">
        <v>26</v>
      </c>
      <c r="B487" s="11" t="s">
        <v>28</v>
      </c>
      <c r="C487" s="12" t="s">
        <v>32</v>
      </c>
      <c r="D487" s="12" t="s">
        <v>35</v>
      </c>
      <c r="E487" s="11">
        <v>579</v>
      </c>
      <c r="F487" s="12">
        <v>260</v>
      </c>
      <c r="G487" s="12">
        <v>125</v>
      </c>
      <c r="H487" s="8">
        <f t="shared" si="42"/>
        <v>222915</v>
      </c>
      <c r="I487" s="12">
        <v>7237.5</v>
      </c>
      <c r="J487" s="8">
        <f t="shared" si="43"/>
        <v>215677.5</v>
      </c>
      <c r="K487" s="12">
        <v>69480</v>
      </c>
      <c r="L487" s="8">
        <f t="shared" si="44"/>
        <v>146197.5</v>
      </c>
      <c r="M487" s="13">
        <v>41640</v>
      </c>
      <c r="N487" s="10">
        <f t="shared" si="45"/>
        <v>1</v>
      </c>
      <c r="O487" s="8" t="str">
        <f t="shared" si="46"/>
        <v>January</v>
      </c>
      <c r="P487" s="7">
        <f t="shared" si="47"/>
        <v>2014</v>
      </c>
    </row>
    <row r="488" spans="1:16" ht="15.75" customHeight="1" x14ac:dyDescent="0.3">
      <c r="A488" s="7" t="s">
        <v>16</v>
      </c>
      <c r="B488" s="7" t="s">
        <v>17</v>
      </c>
      <c r="C488" s="8" t="s">
        <v>32</v>
      </c>
      <c r="D488" s="8" t="s">
        <v>35</v>
      </c>
      <c r="E488" s="7">
        <v>2240</v>
      </c>
      <c r="F488" s="8">
        <v>260</v>
      </c>
      <c r="G488" s="8">
        <v>350</v>
      </c>
      <c r="H488" s="8">
        <f t="shared" si="42"/>
        <v>1366400</v>
      </c>
      <c r="I488" s="8">
        <v>78400</v>
      </c>
      <c r="J488" s="8">
        <f t="shared" si="43"/>
        <v>1288000</v>
      </c>
      <c r="K488" s="8">
        <v>582400</v>
      </c>
      <c r="L488" s="8">
        <f t="shared" si="44"/>
        <v>705600</v>
      </c>
      <c r="M488" s="9">
        <v>41671</v>
      </c>
      <c r="N488" s="10">
        <f t="shared" si="45"/>
        <v>2</v>
      </c>
      <c r="O488" s="8" t="str">
        <f t="shared" si="46"/>
        <v>February</v>
      </c>
      <c r="P488" s="7">
        <f t="shared" si="47"/>
        <v>2014</v>
      </c>
    </row>
    <row r="489" spans="1:16" ht="15.75" customHeight="1" x14ac:dyDescent="0.3">
      <c r="A489" s="11" t="s">
        <v>27</v>
      </c>
      <c r="B489" s="11" t="s">
        <v>28</v>
      </c>
      <c r="C489" s="12" t="s">
        <v>32</v>
      </c>
      <c r="D489" s="12" t="s">
        <v>35</v>
      </c>
      <c r="E489" s="11">
        <v>2993</v>
      </c>
      <c r="F489" s="12">
        <v>260</v>
      </c>
      <c r="G489" s="12">
        <v>300</v>
      </c>
      <c r="H489" s="8">
        <f t="shared" si="42"/>
        <v>1676080</v>
      </c>
      <c r="I489" s="12">
        <v>89790</v>
      </c>
      <c r="J489" s="8">
        <f t="shared" si="43"/>
        <v>1586290</v>
      </c>
      <c r="K489" s="12">
        <v>748250</v>
      </c>
      <c r="L489" s="8">
        <f t="shared" si="44"/>
        <v>838040</v>
      </c>
      <c r="M489" s="13">
        <v>41699</v>
      </c>
      <c r="N489" s="10">
        <f t="shared" si="45"/>
        <v>3</v>
      </c>
      <c r="O489" s="8" t="str">
        <f t="shared" si="46"/>
        <v>March</v>
      </c>
      <c r="P489" s="7">
        <f t="shared" si="47"/>
        <v>2014</v>
      </c>
    </row>
    <row r="490" spans="1:16" ht="15.75" customHeight="1" x14ac:dyDescent="0.3">
      <c r="A490" s="7" t="s">
        <v>25</v>
      </c>
      <c r="B490" s="7" t="s">
        <v>17</v>
      </c>
      <c r="C490" s="8" t="s">
        <v>32</v>
      </c>
      <c r="D490" s="8" t="s">
        <v>35</v>
      </c>
      <c r="E490" s="7">
        <v>3520.5</v>
      </c>
      <c r="F490" s="8">
        <v>260</v>
      </c>
      <c r="G490" s="8">
        <v>12</v>
      </c>
      <c r="H490" s="8">
        <f t="shared" si="42"/>
        <v>957576</v>
      </c>
      <c r="I490" s="8">
        <v>4224.6000000000004</v>
      </c>
      <c r="J490" s="8">
        <f t="shared" si="43"/>
        <v>953351.4</v>
      </c>
      <c r="K490" s="8">
        <v>10561.5</v>
      </c>
      <c r="L490" s="8">
        <f t="shared" si="44"/>
        <v>942789.9</v>
      </c>
      <c r="M490" s="9">
        <v>41730</v>
      </c>
      <c r="N490" s="10">
        <f t="shared" si="45"/>
        <v>4</v>
      </c>
      <c r="O490" s="8" t="str">
        <f t="shared" si="46"/>
        <v>April</v>
      </c>
      <c r="P490" s="7">
        <f t="shared" si="47"/>
        <v>2014</v>
      </c>
    </row>
    <row r="491" spans="1:16" ht="15.75" customHeight="1" x14ac:dyDescent="0.3">
      <c r="A491" s="11" t="s">
        <v>16</v>
      </c>
      <c r="B491" s="11" t="s">
        <v>23</v>
      </c>
      <c r="C491" s="12" t="s">
        <v>32</v>
      </c>
      <c r="D491" s="12" t="s">
        <v>35</v>
      </c>
      <c r="E491" s="11">
        <v>2039</v>
      </c>
      <c r="F491" s="12">
        <v>260</v>
      </c>
      <c r="G491" s="12">
        <v>20</v>
      </c>
      <c r="H491" s="8">
        <f t="shared" si="42"/>
        <v>570920</v>
      </c>
      <c r="I491" s="12">
        <v>4078</v>
      </c>
      <c r="J491" s="8">
        <f t="shared" si="43"/>
        <v>566842</v>
      </c>
      <c r="K491" s="12">
        <v>20390</v>
      </c>
      <c r="L491" s="8">
        <f t="shared" si="44"/>
        <v>546452</v>
      </c>
      <c r="M491" s="13">
        <v>41760</v>
      </c>
      <c r="N491" s="10">
        <f t="shared" si="45"/>
        <v>5</v>
      </c>
      <c r="O491" s="8" t="str">
        <f t="shared" si="46"/>
        <v>May</v>
      </c>
      <c r="P491" s="7">
        <f t="shared" si="47"/>
        <v>2014</v>
      </c>
    </row>
    <row r="492" spans="1:16" ht="15.75" customHeight="1" x14ac:dyDescent="0.3">
      <c r="A492" s="7" t="s">
        <v>25</v>
      </c>
      <c r="B492" s="7" t="s">
        <v>20</v>
      </c>
      <c r="C492" s="8" t="s">
        <v>32</v>
      </c>
      <c r="D492" s="8" t="s">
        <v>35</v>
      </c>
      <c r="E492" s="7">
        <v>2574</v>
      </c>
      <c r="F492" s="8">
        <v>260</v>
      </c>
      <c r="G492" s="8">
        <v>12</v>
      </c>
      <c r="H492" s="8">
        <f t="shared" si="42"/>
        <v>700128</v>
      </c>
      <c r="I492" s="8">
        <v>3088.8</v>
      </c>
      <c r="J492" s="8">
        <f t="shared" si="43"/>
        <v>697039.2</v>
      </c>
      <c r="K492" s="8">
        <v>7722</v>
      </c>
      <c r="L492" s="8">
        <f t="shared" si="44"/>
        <v>689317.2</v>
      </c>
      <c r="M492" s="9">
        <v>41852</v>
      </c>
      <c r="N492" s="10">
        <f t="shared" si="45"/>
        <v>8</v>
      </c>
      <c r="O492" s="8" t="str">
        <f t="shared" si="46"/>
        <v>August</v>
      </c>
      <c r="P492" s="7">
        <f t="shared" si="47"/>
        <v>2014</v>
      </c>
    </row>
    <row r="493" spans="1:16" ht="15.75" customHeight="1" x14ac:dyDescent="0.3">
      <c r="A493" s="11" t="s">
        <v>16</v>
      </c>
      <c r="B493" s="11" t="s">
        <v>17</v>
      </c>
      <c r="C493" s="12" t="s">
        <v>32</v>
      </c>
      <c r="D493" s="12" t="s">
        <v>35</v>
      </c>
      <c r="E493" s="11">
        <v>707</v>
      </c>
      <c r="F493" s="12">
        <v>260</v>
      </c>
      <c r="G493" s="12">
        <v>350</v>
      </c>
      <c r="H493" s="8">
        <f t="shared" si="42"/>
        <v>431270</v>
      </c>
      <c r="I493" s="12">
        <v>24745</v>
      </c>
      <c r="J493" s="8">
        <f t="shared" si="43"/>
        <v>406525</v>
      </c>
      <c r="K493" s="12">
        <v>183820</v>
      </c>
      <c r="L493" s="8">
        <f t="shared" si="44"/>
        <v>222705</v>
      </c>
      <c r="M493" s="13">
        <v>41883</v>
      </c>
      <c r="N493" s="10">
        <f t="shared" si="45"/>
        <v>9</v>
      </c>
      <c r="O493" s="8" t="str">
        <f t="shared" si="46"/>
        <v>September</v>
      </c>
      <c r="P493" s="7">
        <f t="shared" si="47"/>
        <v>2014</v>
      </c>
    </row>
    <row r="494" spans="1:16" ht="15.75" customHeight="1" x14ac:dyDescent="0.3">
      <c r="A494" s="7" t="s">
        <v>21</v>
      </c>
      <c r="B494" s="7" t="s">
        <v>22</v>
      </c>
      <c r="C494" s="8" t="s">
        <v>32</v>
      </c>
      <c r="D494" s="8" t="s">
        <v>35</v>
      </c>
      <c r="E494" s="7">
        <v>2072</v>
      </c>
      <c r="F494" s="8">
        <v>260</v>
      </c>
      <c r="G494" s="8">
        <v>15</v>
      </c>
      <c r="H494" s="8">
        <f t="shared" si="42"/>
        <v>569800</v>
      </c>
      <c r="I494" s="8">
        <v>3108</v>
      </c>
      <c r="J494" s="8">
        <f t="shared" si="43"/>
        <v>566692</v>
      </c>
      <c r="K494" s="8">
        <v>20720</v>
      </c>
      <c r="L494" s="8">
        <f t="shared" si="44"/>
        <v>545972</v>
      </c>
      <c r="M494" s="9">
        <v>41974</v>
      </c>
      <c r="N494" s="10">
        <f t="shared" si="45"/>
        <v>12</v>
      </c>
      <c r="O494" s="8" t="str">
        <f t="shared" si="46"/>
        <v>December</v>
      </c>
      <c r="P494" s="7">
        <f t="shared" si="47"/>
        <v>2014</v>
      </c>
    </row>
    <row r="495" spans="1:16" ht="15.75" customHeight="1" x14ac:dyDescent="0.3">
      <c r="A495" s="11" t="s">
        <v>27</v>
      </c>
      <c r="B495" s="11" t="s">
        <v>22</v>
      </c>
      <c r="C495" s="12" t="s">
        <v>32</v>
      </c>
      <c r="D495" s="12" t="s">
        <v>35</v>
      </c>
      <c r="E495" s="11">
        <v>853</v>
      </c>
      <c r="F495" s="12">
        <v>260</v>
      </c>
      <c r="G495" s="12">
        <v>300</v>
      </c>
      <c r="H495" s="8">
        <f t="shared" si="42"/>
        <v>477680</v>
      </c>
      <c r="I495" s="12">
        <v>25590</v>
      </c>
      <c r="J495" s="8">
        <f t="shared" si="43"/>
        <v>452090</v>
      </c>
      <c r="K495" s="12">
        <v>213250</v>
      </c>
      <c r="L495" s="8">
        <f t="shared" si="44"/>
        <v>238840</v>
      </c>
      <c r="M495" s="13">
        <v>41974</v>
      </c>
      <c r="N495" s="10">
        <f t="shared" si="45"/>
        <v>12</v>
      </c>
      <c r="O495" s="8" t="str">
        <f t="shared" si="46"/>
        <v>December</v>
      </c>
      <c r="P495" s="7">
        <f t="shared" si="47"/>
        <v>2014</v>
      </c>
    </row>
    <row r="496" spans="1:16" ht="15.75" customHeight="1" x14ac:dyDescent="0.3">
      <c r="A496" s="7" t="s">
        <v>25</v>
      </c>
      <c r="B496" s="7" t="s">
        <v>22</v>
      </c>
      <c r="C496" s="8" t="s">
        <v>18</v>
      </c>
      <c r="D496" s="8" t="s">
        <v>35</v>
      </c>
      <c r="E496" s="7">
        <v>1198</v>
      </c>
      <c r="F496" s="8">
        <v>3</v>
      </c>
      <c r="G496" s="8">
        <v>12</v>
      </c>
      <c r="H496" s="8">
        <f t="shared" si="42"/>
        <v>17970</v>
      </c>
      <c r="I496" s="8">
        <v>1581.36</v>
      </c>
      <c r="J496" s="8">
        <f t="shared" si="43"/>
        <v>16388.64</v>
      </c>
      <c r="K496" s="8">
        <v>3594</v>
      </c>
      <c r="L496" s="8">
        <f t="shared" si="44"/>
        <v>12794.64</v>
      </c>
      <c r="M496" s="9">
        <v>41548</v>
      </c>
      <c r="N496" s="10">
        <f t="shared" si="45"/>
        <v>10</v>
      </c>
      <c r="O496" s="8" t="str">
        <f t="shared" si="46"/>
        <v>October</v>
      </c>
      <c r="P496" s="7">
        <f t="shared" si="47"/>
        <v>2013</v>
      </c>
    </row>
    <row r="497" spans="1:16" ht="15.75" customHeight="1" x14ac:dyDescent="0.3">
      <c r="A497" s="11" t="s">
        <v>16</v>
      </c>
      <c r="B497" s="11" t="s">
        <v>22</v>
      </c>
      <c r="C497" s="12" t="s">
        <v>29</v>
      </c>
      <c r="D497" s="12" t="s">
        <v>35</v>
      </c>
      <c r="E497" s="11">
        <v>2532</v>
      </c>
      <c r="F497" s="12">
        <v>10</v>
      </c>
      <c r="G497" s="12">
        <v>7</v>
      </c>
      <c r="H497" s="8">
        <f t="shared" si="42"/>
        <v>43044</v>
      </c>
      <c r="I497" s="12">
        <v>1949.6399999999999</v>
      </c>
      <c r="J497" s="8">
        <f t="shared" si="43"/>
        <v>41094.36</v>
      </c>
      <c r="K497" s="12">
        <v>12660</v>
      </c>
      <c r="L497" s="8">
        <f t="shared" si="44"/>
        <v>28434.36</v>
      </c>
      <c r="M497" s="13">
        <v>41730</v>
      </c>
      <c r="N497" s="10">
        <f t="shared" si="45"/>
        <v>4</v>
      </c>
      <c r="O497" s="8" t="str">
        <f t="shared" si="46"/>
        <v>April</v>
      </c>
      <c r="P497" s="7">
        <f t="shared" si="47"/>
        <v>2014</v>
      </c>
    </row>
    <row r="498" spans="1:16" ht="15.75" customHeight="1" x14ac:dyDescent="0.3">
      <c r="A498" s="7" t="s">
        <v>25</v>
      </c>
      <c r="B498" s="7" t="s">
        <v>22</v>
      </c>
      <c r="C498" s="8" t="s">
        <v>29</v>
      </c>
      <c r="D498" s="8" t="s">
        <v>35</v>
      </c>
      <c r="E498" s="7">
        <v>1198</v>
      </c>
      <c r="F498" s="8">
        <v>10</v>
      </c>
      <c r="G498" s="8">
        <v>12</v>
      </c>
      <c r="H498" s="8">
        <f t="shared" si="42"/>
        <v>26356</v>
      </c>
      <c r="I498" s="8">
        <v>1581.36</v>
      </c>
      <c r="J498" s="8">
        <f t="shared" si="43"/>
        <v>24774.639999999999</v>
      </c>
      <c r="K498" s="8">
        <v>3594</v>
      </c>
      <c r="L498" s="8">
        <f t="shared" si="44"/>
        <v>21180.639999999999</v>
      </c>
      <c r="M498" s="9">
        <v>41548</v>
      </c>
      <c r="N498" s="10">
        <f t="shared" si="45"/>
        <v>10</v>
      </c>
      <c r="O498" s="8" t="str">
        <f t="shared" si="46"/>
        <v>October</v>
      </c>
      <c r="P498" s="7">
        <f t="shared" si="47"/>
        <v>2013</v>
      </c>
    </row>
    <row r="499" spans="1:16" ht="15.75" customHeight="1" x14ac:dyDescent="0.3">
      <c r="A499" s="11" t="s">
        <v>21</v>
      </c>
      <c r="B499" s="11" t="s">
        <v>17</v>
      </c>
      <c r="C499" s="12" t="s">
        <v>30</v>
      </c>
      <c r="D499" s="12" t="s">
        <v>35</v>
      </c>
      <c r="E499" s="11">
        <v>384</v>
      </c>
      <c r="F499" s="12">
        <v>120</v>
      </c>
      <c r="G499" s="12">
        <v>15</v>
      </c>
      <c r="H499" s="8">
        <f t="shared" si="42"/>
        <v>51840</v>
      </c>
      <c r="I499" s="12">
        <v>633.59999999999991</v>
      </c>
      <c r="J499" s="8">
        <f t="shared" si="43"/>
        <v>51206.400000000001</v>
      </c>
      <c r="K499" s="12">
        <v>3840</v>
      </c>
      <c r="L499" s="8">
        <f t="shared" si="44"/>
        <v>47366.400000000001</v>
      </c>
      <c r="M499" s="13">
        <v>41640</v>
      </c>
      <c r="N499" s="10">
        <f t="shared" si="45"/>
        <v>1</v>
      </c>
      <c r="O499" s="8" t="str">
        <f t="shared" si="46"/>
        <v>January</v>
      </c>
      <c r="P499" s="7">
        <f t="shared" si="47"/>
        <v>2014</v>
      </c>
    </row>
    <row r="500" spans="1:16" ht="15.75" customHeight="1" x14ac:dyDescent="0.3">
      <c r="A500" s="7" t="s">
        <v>25</v>
      </c>
      <c r="B500" s="7" t="s">
        <v>20</v>
      </c>
      <c r="C500" s="8" t="s">
        <v>30</v>
      </c>
      <c r="D500" s="8" t="s">
        <v>35</v>
      </c>
      <c r="E500" s="7">
        <v>472</v>
      </c>
      <c r="F500" s="8">
        <v>120</v>
      </c>
      <c r="G500" s="8">
        <v>12</v>
      </c>
      <c r="H500" s="8">
        <f t="shared" si="42"/>
        <v>62304</v>
      </c>
      <c r="I500" s="8">
        <v>623.04</v>
      </c>
      <c r="J500" s="8">
        <f t="shared" si="43"/>
        <v>61680.959999999999</v>
      </c>
      <c r="K500" s="8">
        <v>1416</v>
      </c>
      <c r="L500" s="8">
        <f t="shared" si="44"/>
        <v>60264.959999999999</v>
      </c>
      <c r="M500" s="9">
        <v>41913</v>
      </c>
      <c r="N500" s="10">
        <f t="shared" si="45"/>
        <v>10</v>
      </c>
      <c r="O500" s="8" t="str">
        <f t="shared" si="46"/>
        <v>October</v>
      </c>
      <c r="P500" s="7">
        <f t="shared" si="47"/>
        <v>2014</v>
      </c>
    </row>
    <row r="501" spans="1:16" ht="15.75" customHeight="1" x14ac:dyDescent="0.3">
      <c r="A501" s="11" t="s">
        <v>16</v>
      </c>
      <c r="B501" s="11" t="s">
        <v>28</v>
      </c>
      <c r="C501" s="12" t="s">
        <v>31</v>
      </c>
      <c r="D501" s="12" t="s">
        <v>35</v>
      </c>
      <c r="E501" s="11">
        <v>1579</v>
      </c>
      <c r="F501" s="12">
        <v>250</v>
      </c>
      <c r="G501" s="12">
        <v>7</v>
      </c>
      <c r="H501" s="8">
        <f t="shared" si="42"/>
        <v>405803</v>
      </c>
      <c r="I501" s="12">
        <v>1215.83</v>
      </c>
      <c r="J501" s="8">
        <f t="shared" si="43"/>
        <v>404587.17</v>
      </c>
      <c r="K501" s="12">
        <v>7895</v>
      </c>
      <c r="L501" s="8">
        <f t="shared" si="44"/>
        <v>396692.17</v>
      </c>
      <c r="M501" s="13">
        <v>41699</v>
      </c>
      <c r="N501" s="10">
        <f t="shared" si="45"/>
        <v>3</v>
      </c>
      <c r="O501" s="8" t="str">
        <f t="shared" si="46"/>
        <v>March</v>
      </c>
      <c r="P501" s="7">
        <f t="shared" si="47"/>
        <v>2014</v>
      </c>
    </row>
    <row r="502" spans="1:16" ht="15.75" customHeight="1" x14ac:dyDescent="0.3">
      <c r="A502" s="7" t="s">
        <v>25</v>
      </c>
      <c r="B502" s="7" t="s">
        <v>23</v>
      </c>
      <c r="C502" s="8" t="s">
        <v>31</v>
      </c>
      <c r="D502" s="8" t="s">
        <v>35</v>
      </c>
      <c r="E502" s="7">
        <v>1005</v>
      </c>
      <c r="F502" s="8">
        <v>250</v>
      </c>
      <c r="G502" s="8">
        <v>12</v>
      </c>
      <c r="H502" s="8">
        <f t="shared" si="42"/>
        <v>263310</v>
      </c>
      <c r="I502" s="8">
        <v>1326.6</v>
      </c>
      <c r="J502" s="8">
        <f t="shared" si="43"/>
        <v>261983.4</v>
      </c>
      <c r="K502" s="8">
        <v>3015</v>
      </c>
      <c r="L502" s="8">
        <f t="shared" si="44"/>
        <v>258968.4</v>
      </c>
      <c r="M502" s="9">
        <v>41518</v>
      </c>
      <c r="N502" s="10">
        <f t="shared" si="45"/>
        <v>9</v>
      </c>
      <c r="O502" s="8" t="str">
        <f t="shared" si="46"/>
        <v>September</v>
      </c>
      <c r="P502" s="7">
        <f t="shared" si="47"/>
        <v>2013</v>
      </c>
    </row>
    <row r="503" spans="1:16" ht="15.75" customHeight="1" x14ac:dyDescent="0.3">
      <c r="A503" s="11" t="s">
        <v>21</v>
      </c>
      <c r="B503" s="11" t="s">
        <v>28</v>
      </c>
      <c r="C503" s="12" t="s">
        <v>32</v>
      </c>
      <c r="D503" s="12" t="s">
        <v>35</v>
      </c>
      <c r="E503" s="11">
        <v>3199.5</v>
      </c>
      <c r="F503" s="12">
        <v>260</v>
      </c>
      <c r="G503" s="12">
        <v>15</v>
      </c>
      <c r="H503" s="8">
        <f t="shared" si="42"/>
        <v>879862.5</v>
      </c>
      <c r="I503" s="12">
        <v>5279.1749999999993</v>
      </c>
      <c r="J503" s="8">
        <f t="shared" si="43"/>
        <v>874583.32499999995</v>
      </c>
      <c r="K503" s="12">
        <v>31995</v>
      </c>
      <c r="L503" s="8">
        <f t="shared" si="44"/>
        <v>842588.32499999995</v>
      </c>
      <c r="M503" s="13">
        <v>41821</v>
      </c>
      <c r="N503" s="10">
        <f t="shared" si="45"/>
        <v>7</v>
      </c>
      <c r="O503" s="8" t="str">
        <f t="shared" si="46"/>
        <v>July</v>
      </c>
      <c r="P503" s="7">
        <f t="shared" si="47"/>
        <v>2014</v>
      </c>
    </row>
    <row r="504" spans="1:16" ht="15.75" customHeight="1" x14ac:dyDescent="0.3">
      <c r="A504" s="7" t="s">
        <v>25</v>
      </c>
      <c r="B504" s="7" t="s">
        <v>20</v>
      </c>
      <c r="C504" s="8" t="s">
        <v>32</v>
      </c>
      <c r="D504" s="8" t="s">
        <v>35</v>
      </c>
      <c r="E504" s="7">
        <v>472</v>
      </c>
      <c r="F504" s="8">
        <v>260</v>
      </c>
      <c r="G504" s="8">
        <v>12</v>
      </c>
      <c r="H504" s="8">
        <f t="shared" si="42"/>
        <v>128384</v>
      </c>
      <c r="I504" s="8">
        <v>623.04</v>
      </c>
      <c r="J504" s="8">
        <f t="shared" si="43"/>
        <v>127760.96000000001</v>
      </c>
      <c r="K504" s="8">
        <v>1416</v>
      </c>
      <c r="L504" s="8">
        <f t="shared" si="44"/>
        <v>126344.96000000001</v>
      </c>
      <c r="M504" s="9">
        <v>41913</v>
      </c>
      <c r="N504" s="10">
        <f t="shared" si="45"/>
        <v>10</v>
      </c>
      <c r="O504" s="8" t="str">
        <f t="shared" si="46"/>
        <v>October</v>
      </c>
      <c r="P504" s="7">
        <f t="shared" si="47"/>
        <v>2014</v>
      </c>
    </row>
    <row r="505" spans="1:16" ht="15.75" customHeight="1" x14ac:dyDescent="0.3">
      <c r="A505" s="11" t="s">
        <v>25</v>
      </c>
      <c r="B505" s="11" t="s">
        <v>17</v>
      </c>
      <c r="C505" s="12" t="s">
        <v>18</v>
      </c>
      <c r="D505" s="12" t="s">
        <v>35</v>
      </c>
      <c r="E505" s="11">
        <v>1937</v>
      </c>
      <c r="F505" s="12">
        <v>3</v>
      </c>
      <c r="G505" s="12">
        <v>12</v>
      </c>
      <c r="H505" s="8">
        <f t="shared" si="42"/>
        <v>29055</v>
      </c>
      <c r="I505" s="12">
        <v>2556.84</v>
      </c>
      <c r="J505" s="8">
        <f t="shared" si="43"/>
        <v>26498.16</v>
      </c>
      <c r="K505" s="12">
        <v>5811</v>
      </c>
      <c r="L505" s="8">
        <f t="shared" si="44"/>
        <v>20687.16</v>
      </c>
      <c r="M505" s="13">
        <v>41671</v>
      </c>
      <c r="N505" s="10">
        <f t="shared" si="45"/>
        <v>2</v>
      </c>
      <c r="O505" s="8" t="str">
        <f t="shared" si="46"/>
        <v>February</v>
      </c>
      <c r="P505" s="7">
        <f t="shared" si="47"/>
        <v>2014</v>
      </c>
    </row>
    <row r="506" spans="1:16" ht="15.75" customHeight="1" x14ac:dyDescent="0.3">
      <c r="A506" s="7" t="s">
        <v>16</v>
      </c>
      <c r="B506" s="7" t="s">
        <v>20</v>
      </c>
      <c r="C506" s="8" t="s">
        <v>18</v>
      </c>
      <c r="D506" s="8" t="s">
        <v>35</v>
      </c>
      <c r="E506" s="7">
        <v>792</v>
      </c>
      <c r="F506" s="8">
        <v>3</v>
      </c>
      <c r="G506" s="8">
        <v>350</v>
      </c>
      <c r="H506" s="8">
        <f t="shared" si="42"/>
        <v>279576</v>
      </c>
      <c r="I506" s="8">
        <v>30492</v>
      </c>
      <c r="J506" s="8">
        <f t="shared" si="43"/>
        <v>249084</v>
      </c>
      <c r="K506" s="8">
        <v>205920</v>
      </c>
      <c r="L506" s="8">
        <f t="shared" si="44"/>
        <v>43164</v>
      </c>
      <c r="M506" s="9">
        <v>41699</v>
      </c>
      <c r="N506" s="10">
        <f t="shared" si="45"/>
        <v>3</v>
      </c>
      <c r="O506" s="8" t="str">
        <f t="shared" si="46"/>
        <v>March</v>
      </c>
      <c r="P506" s="7">
        <f t="shared" si="47"/>
        <v>2014</v>
      </c>
    </row>
    <row r="507" spans="1:16" ht="15.75" customHeight="1" x14ac:dyDescent="0.3">
      <c r="A507" s="11" t="s">
        <v>27</v>
      </c>
      <c r="B507" s="11" t="s">
        <v>20</v>
      </c>
      <c r="C507" s="12" t="s">
        <v>18</v>
      </c>
      <c r="D507" s="12" t="s">
        <v>35</v>
      </c>
      <c r="E507" s="11">
        <v>2811</v>
      </c>
      <c r="F507" s="12">
        <v>3</v>
      </c>
      <c r="G507" s="12">
        <v>300</v>
      </c>
      <c r="H507" s="8">
        <f t="shared" si="42"/>
        <v>851733</v>
      </c>
      <c r="I507" s="12">
        <v>92763</v>
      </c>
      <c r="J507" s="8">
        <f t="shared" si="43"/>
        <v>758970</v>
      </c>
      <c r="K507" s="12">
        <v>702750</v>
      </c>
      <c r="L507" s="8">
        <f t="shared" si="44"/>
        <v>56220</v>
      </c>
      <c r="M507" s="13">
        <v>41821</v>
      </c>
      <c r="N507" s="10">
        <f t="shared" si="45"/>
        <v>7</v>
      </c>
      <c r="O507" s="8" t="str">
        <f t="shared" si="46"/>
        <v>July</v>
      </c>
      <c r="P507" s="7">
        <f t="shared" si="47"/>
        <v>2014</v>
      </c>
    </row>
    <row r="508" spans="1:16" ht="15.75" customHeight="1" x14ac:dyDescent="0.3">
      <c r="A508" s="7" t="s">
        <v>26</v>
      </c>
      <c r="B508" s="7" t="s">
        <v>22</v>
      </c>
      <c r="C508" s="8" t="s">
        <v>18</v>
      </c>
      <c r="D508" s="8" t="s">
        <v>35</v>
      </c>
      <c r="E508" s="7">
        <v>2441</v>
      </c>
      <c r="F508" s="8">
        <v>3</v>
      </c>
      <c r="G508" s="8">
        <v>125</v>
      </c>
      <c r="H508" s="8">
        <f t="shared" si="42"/>
        <v>312448</v>
      </c>
      <c r="I508" s="8">
        <v>33563.75</v>
      </c>
      <c r="J508" s="8">
        <f t="shared" si="43"/>
        <v>278884.25</v>
      </c>
      <c r="K508" s="8">
        <v>292920</v>
      </c>
      <c r="L508" s="8">
        <f t="shared" si="44"/>
        <v>-14035.75</v>
      </c>
      <c r="M508" s="9">
        <v>41913</v>
      </c>
      <c r="N508" s="10">
        <f t="shared" si="45"/>
        <v>10</v>
      </c>
      <c r="O508" s="8" t="str">
        <f t="shared" si="46"/>
        <v>October</v>
      </c>
      <c r="P508" s="7">
        <f t="shared" si="47"/>
        <v>2014</v>
      </c>
    </row>
    <row r="509" spans="1:16" ht="15.75" customHeight="1" x14ac:dyDescent="0.3">
      <c r="A509" s="11" t="s">
        <v>21</v>
      </c>
      <c r="B509" s="11" t="s">
        <v>17</v>
      </c>
      <c r="C509" s="12" t="s">
        <v>18</v>
      </c>
      <c r="D509" s="12" t="s">
        <v>35</v>
      </c>
      <c r="E509" s="11">
        <v>1560</v>
      </c>
      <c r="F509" s="12">
        <v>3</v>
      </c>
      <c r="G509" s="12">
        <v>15</v>
      </c>
      <c r="H509" s="8">
        <f t="shared" si="42"/>
        <v>28080</v>
      </c>
      <c r="I509" s="12">
        <v>2574</v>
      </c>
      <c r="J509" s="8">
        <f t="shared" si="43"/>
        <v>25506</v>
      </c>
      <c r="K509" s="12">
        <v>15600</v>
      </c>
      <c r="L509" s="8">
        <f t="shared" si="44"/>
        <v>9906</v>
      </c>
      <c r="M509" s="13">
        <v>41579</v>
      </c>
      <c r="N509" s="10">
        <f t="shared" si="45"/>
        <v>11</v>
      </c>
      <c r="O509" s="8" t="str">
        <f t="shared" si="46"/>
        <v>November</v>
      </c>
      <c r="P509" s="7">
        <f t="shared" si="47"/>
        <v>2013</v>
      </c>
    </row>
    <row r="510" spans="1:16" ht="15.75" customHeight="1" x14ac:dyDescent="0.3">
      <c r="A510" s="7" t="s">
        <v>16</v>
      </c>
      <c r="B510" s="7" t="s">
        <v>23</v>
      </c>
      <c r="C510" s="8" t="s">
        <v>18</v>
      </c>
      <c r="D510" s="8" t="s">
        <v>35</v>
      </c>
      <c r="E510" s="7">
        <v>2706</v>
      </c>
      <c r="F510" s="8">
        <v>3</v>
      </c>
      <c r="G510" s="8">
        <v>7</v>
      </c>
      <c r="H510" s="8">
        <f t="shared" si="42"/>
        <v>27060</v>
      </c>
      <c r="I510" s="8">
        <v>2083.62</v>
      </c>
      <c r="J510" s="8">
        <f t="shared" si="43"/>
        <v>24976.38</v>
      </c>
      <c r="K510" s="8">
        <v>13530</v>
      </c>
      <c r="L510" s="8">
        <f t="shared" si="44"/>
        <v>11446.380000000001</v>
      </c>
      <c r="M510" s="9">
        <v>41579</v>
      </c>
      <c r="N510" s="10">
        <f t="shared" si="45"/>
        <v>11</v>
      </c>
      <c r="O510" s="8" t="str">
        <f t="shared" si="46"/>
        <v>November</v>
      </c>
      <c r="P510" s="7">
        <f t="shared" si="47"/>
        <v>2013</v>
      </c>
    </row>
    <row r="511" spans="1:16" ht="15.75" customHeight="1" x14ac:dyDescent="0.3">
      <c r="A511" s="11" t="s">
        <v>16</v>
      </c>
      <c r="B511" s="11" t="s">
        <v>20</v>
      </c>
      <c r="C511" s="12" t="s">
        <v>24</v>
      </c>
      <c r="D511" s="12" t="s">
        <v>35</v>
      </c>
      <c r="E511" s="11">
        <v>766</v>
      </c>
      <c r="F511" s="12">
        <v>5</v>
      </c>
      <c r="G511" s="12">
        <v>350</v>
      </c>
      <c r="H511" s="8">
        <f t="shared" si="42"/>
        <v>271930</v>
      </c>
      <c r="I511" s="12">
        <v>29491</v>
      </c>
      <c r="J511" s="8">
        <f t="shared" si="43"/>
        <v>242439</v>
      </c>
      <c r="K511" s="12">
        <v>199160</v>
      </c>
      <c r="L511" s="8">
        <f t="shared" si="44"/>
        <v>43279</v>
      </c>
      <c r="M511" s="13">
        <v>41640</v>
      </c>
      <c r="N511" s="10">
        <f t="shared" si="45"/>
        <v>1</v>
      </c>
      <c r="O511" s="8" t="str">
        <f t="shared" si="46"/>
        <v>January</v>
      </c>
      <c r="P511" s="7">
        <f t="shared" si="47"/>
        <v>2014</v>
      </c>
    </row>
    <row r="512" spans="1:16" ht="15.75" customHeight="1" x14ac:dyDescent="0.3">
      <c r="A512" s="7" t="s">
        <v>16</v>
      </c>
      <c r="B512" s="7" t="s">
        <v>20</v>
      </c>
      <c r="C512" s="8" t="s">
        <v>24</v>
      </c>
      <c r="D512" s="8" t="s">
        <v>35</v>
      </c>
      <c r="E512" s="7">
        <v>2992</v>
      </c>
      <c r="F512" s="8">
        <v>5</v>
      </c>
      <c r="G512" s="8">
        <v>20</v>
      </c>
      <c r="H512" s="8">
        <f t="shared" si="42"/>
        <v>74800</v>
      </c>
      <c r="I512" s="8">
        <v>6582.4</v>
      </c>
      <c r="J512" s="8">
        <f t="shared" si="43"/>
        <v>68217.600000000006</v>
      </c>
      <c r="K512" s="8">
        <v>29920</v>
      </c>
      <c r="L512" s="8">
        <f t="shared" si="44"/>
        <v>38297.600000000006</v>
      </c>
      <c r="M512" s="9">
        <v>41548</v>
      </c>
      <c r="N512" s="10">
        <f t="shared" si="45"/>
        <v>10</v>
      </c>
      <c r="O512" s="8" t="str">
        <f t="shared" si="46"/>
        <v>October</v>
      </c>
      <c r="P512" s="7">
        <f t="shared" si="47"/>
        <v>2013</v>
      </c>
    </row>
    <row r="513" spans="1:16" ht="15.75" customHeight="1" x14ac:dyDescent="0.3">
      <c r="A513" s="11" t="s">
        <v>21</v>
      </c>
      <c r="B513" s="11" t="s">
        <v>23</v>
      </c>
      <c r="C513" s="12" t="s">
        <v>24</v>
      </c>
      <c r="D513" s="12" t="s">
        <v>35</v>
      </c>
      <c r="E513" s="11">
        <v>2157</v>
      </c>
      <c r="F513" s="12">
        <v>5</v>
      </c>
      <c r="G513" s="12">
        <v>15</v>
      </c>
      <c r="H513" s="8">
        <f t="shared" si="42"/>
        <v>43140</v>
      </c>
      <c r="I513" s="12">
        <v>3559.05</v>
      </c>
      <c r="J513" s="8">
        <f t="shared" si="43"/>
        <v>39580.949999999997</v>
      </c>
      <c r="K513" s="12">
        <v>21570</v>
      </c>
      <c r="L513" s="8">
        <f t="shared" si="44"/>
        <v>18010.949999999997</v>
      </c>
      <c r="M513" s="13">
        <v>41974</v>
      </c>
      <c r="N513" s="10">
        <f t="shared" si="45"/>
        <v>12</v>
      </c>
      <c r="O513" s="8" t="str">
        <f t="shared" si="46"/>
        <v>December</v>
      </c>
      <c r="P513" s="7">
        <f t="shared" si="47"/>
        <v>2014</v>
      </c>
    </row>
    <row r="514" spans="1:16" ht="15.75" customHeight="1" x14ac:dyDescent="0.3">
      <c r="A514" s="7" t="s">
        <v>27</v>
      </c>
      <c r="B514" s="7" t="s">
        <v>17</v>
      </c>
      <c r="C514" s="8" t="s">
        <v>29</v>
      </c>
      <c r="D514" s="8" t="s">
        <v>35</v>
      </c>
      <c r="E514" s="7">
        <v>873</v>
      </c>
      <c r="F514" s="8">
        <v>10</v>
      </c>
      <c r="G514" s="8">
        <v>300</v>
      </c>
      <c r="H514" s="8">
        <f t="shared" si="42"/>
        <v>270630</v>
      </c>
      <c r="I514" s="8">
        <v>28809</v>
      </c>
      <c r="J514" s="8">
        <f t="shared" si="43"/>
        <v>241821</v>
      </c>
      <c r="K514" s="8">
        <v>218250</v>
      </c>
      <c r="L514" s="8">
        <f t="shared" si="44"/>
        <v>23571</v>
      </c>
      <c r="M514" s="9">
        <v>41640</v>
      </c>
      <c r="N514" s="10">
        <f t="shared" si="45"/>
        <v>1</v>
      </c>
      <c r="O514" s="8" t="str">
        <f t="shared" si="46"/>
        <v>January</v>
      </c>
      <c r="P514" s="7">
        <f t="shared" si="47"/>
        <v>2014</v>
      </c>
    </row>
    <row r="515" spans="1:16" ht="15.75" customHeight="1" x14ac:dyDescent="0.3">
      <c r="A515" s="11" t="s">
        <v>16</v>
      </c>
      <c r="B515" s="11" t="s">
        <v>23</v>
      </c>
      <c r="C515" s="12" t="s">
        <v>29</v>
      </c>
      <c r="D515" s="12" t="s">
        <v>35</v>
      </c>
      <c r="E515" s="11">
        <v>1122</v>
      </c>
      <c r="F515" s="12">
        <v>10</v>
      </c>
      <c r="G515" s="12">
        <v>20</v>
      </c>
      <c r="H515" s="8">
        <f t="shared" ref="H515:H578" si="48">E515*(F515+G515)</f>
        <v>33660</v>
      </c>
      <c r="I515" s="12">
        <v>2468.4</v>
      </c>
      <c r="J515" s="8">
        <f t="shared" ref="J515:J578" si="49">H515-I515</f>
        <v>31191.599999999999</v>
      </c>
      <c r="K515" s="12">
        <v>11220</v>
      </c>
      <c r="L515" s="8">
        <f t="shared" ref="L515:L578" si="50">J515-K515</f>
        <v>19971.599999999999</v>
      </c>
      <c r="M515" s="13">
        <v>41699</v>
      </c>
      <c r="N515" s="10">
        <f t="shared" ref="N515:N578" si="51">MONTH(M515)</f>
        <v>3</v>
      </c>
      <c r="O515" s="8" t="str">
        <f t="shared" ref="O515:O578" si="52">TEXT(M515,"MMMM")</f>
        <v>March</v>
      </c>
      <c r="P515" s="7">
        <f t="shared" ref="P515:P578" si="53">YEAR(M515)</f>
        <v>2014</v>
      </c>
    </row>
    <row r="516" spans="1:16" ht="15.75" customHeight="1" x14ac:dyDescent="0.3">
      <c r="A516" s="7" t="s">
        <v>16</v>
      </c>
      <c r="B516" s="7" t="s">
        <v>17</v>
      </c>
      <c r="C516" s="8" t="s">
        <v>29</v>
      </c>
      <c r="D516" s="8" t="s">
        <v>35</v>
      </c>
      <c r="E516" s="7">
        <v>2104.5</v>
      </c>
      <c r="F516" s="8">
        <v>10</v>
      </c>
      <c r="G516" s="8">
        <v>350</v>
      </c>
      <c r="H516" s="8">
        <f t="shared" si="48"/>
        <v>757620</v>
      </c>
      <c r="I516" s="8">
        <v>81023.25</v>
      </c>
      <c r="J516" s="8">
        <f t="shared" si="49"/>
        <v>676596.75</v>
      </c>
      <c r="K516" s="8">
        <v>547170</v>
      </c>
      <c r="L516" s="8">
        <f t="shared" si="50"/>
        <v>129426.75</v>
      </c>
      <c r="M516" s="9">
        <v>41821</v>
      </c>
      <c r="N516" s="10">
        <f t="shared" si="51"/>
        <v>7</v>
      </c>
      <c r="O516" s="8" t="str">
        <f t="shared" si="52"/>
        <v>July</v>
      </c>
      <c r="P516" s="7">
        <f t="shared" si="53"/>
        <v>2014</v>
      </c>
    </row>
    <row r="517" spans="1:16" ht="15.75" customHeight="1" x14ac:dyDescent="0.3">
      <c r="A517" s="11" t="s">
        <v>25</v>
      </c>
      <c r="B517" s="11" t="s">
        <v>17</v>
      </c>
      <c r="C517" s="12" t="s">
        <v>29</v>
      </c>
      <c r="D517" s="12" t="s">
        <v>35</v>
      </c>
      <c r="E517" s="11">
        <v>4026</v>
      </c>
      <c r="F517" s="12">
        <v>10</v>
      </c>
      <c r="G517" s="12">
        <v>12</v>
      </c>
      <c r="H517" s="8">
        <f t="shared" si="48"/>
        <v>88572</v>
      </c>
      <c r="I517" s="12">
        <v>5314.32</v>
      </c>
      <c r="J517" s="8">
        <f t="shared" si="49"/>
        <v>83257.679999999993</v>
      </c>
      <c r="K517" s="12">
        <v>12078</v>
      </c>
      <c r="L517" s="8">
        <f t="shared" si="50"/>
        <v>71179.679999999993</v>
      </c>
      <c r="M517" s="13">
        <v>41821</v>
      </c>
      <c r="N517" s="10">
        <f t="shared" si="51"/>
        <v>7</v>
      </c>
      <c r="O517" s="8" t="str">
        <f t="shared" si="52"/>
        <v>July</v>
      </c>
      <c r="P517" s="7">
        <f t="shared" si="53"/>
        <v>2014</v>
      </c>
    </row>
    <row r="518" spans="1:16" ht="15.75" customHeight="1" x14ac:dyDescent="0.3">
      <c r="A518" s="7" t="s">
        <v>25</v>
      </c>
      <c r="B518" s="7" t="s">
        <v>22</v>
      </c>
      <c r="C518" s="8" t="s">
        <v>29</v>
      </c>
      <c r="D518" s="8" t="s">
        <v>35</v>
      </c>
      <c r="E518" s="7">
        <v>2425.5</v>
      </c>
      <c r="F518" s="8">
        <v>10</v>
      </c>
      <c r="G518" s="8">
        <v>12</v>
      </c>
      <c r="H518" s="8">
        <f t="shared" si="48"/>
        <v>53361</v>
      </c>
      <c r="I518" s="8">
        <v>3201.66</v>
      </c>
      <c r="J518" s="8">
        <f t="shared" si="49"/>
        <v>50159.34</v>
      </c>
      <c r="K518" s="8">
        <v>7276.5</v>
      </c>
      <c r="L518" s="8">
        <f t="shared" si="50"/>
        <v>42882.84</v>
      </c>
      <c r="M518" s="9">
        <v>41821</v>
      </c>
      <c r="N518" s="10">
        <f t="shared" si="51"/>
        <v>7</v>
      </c>
      <c r="O518" s="8" t="str">
        <f t="shared" si="52"/>
        <v>July</v>
      </c>
      <c r="P518" s="7">
        <f t="shared" si="53"/>
        <v>2014</v>
      </c>
    </row>
    <row r="519" spans="1:16" ht="15.75" customHeight="1" x14ac:dyDescent="0.3">
      <c r="A519" s="11" t="s">
        <v>16</v>
      </c>
      <c r="B519" s="11" t="s">
        <v>17</v>
      </c>
      <c r="C519" s="12" t="s">
        <v>29</v>
      </c>
      <c r="D519" s="12" t="s">
        <v>35</v>
      </c>
      <c r="E519" s="11">
        <v>2394</v>
      </c>
      <c r="F519" s="12">
        <v>10</v>
      </c>
      <c r="G519" s="12">
        <v>20</v>
      </c>
      <c r="H519" s="8">
        <f t="shared" si="48"/>
        <v>71820</v>
      </c>
      <c r="I519" s="12">
        <v>5266.8</v>
      </c>
      <c r="J519" s="8">
        <f t="shared" si="49"/>
        <v>66553.2</v>
      </c>
      <c r="K519" s="12">
        <v>23940</v>
      </c>
      <c r="L519" s="8">
        <f t="shared" si="50"/>
        <v>42613.2</v>
      </c>
      <c r="M519" s="13">
        <v>41852</v>
      </c>
      <c r="N519" s="10">
        <f t="shared" si="51"/>
        <v>8</v>
      </c>
      <c r="O519" s="8" t="str">
        <f t="shared" si="52"/>
        <v>August</v>
      </c>
      <c r="P519" s="7">
        <f t="shared" si="53"/>
        <v>2014</v>
      </c>
    </row>
    <row r="520" spans="1:16" ht="15.75" customHeight="1" x14ac:dyDescent="0.3">
      <c r="A520" s="7" t="s">
        <v>21</v>
      </c>
      <c r="B520" s="7" t="s">
        <v>23</v>
      </c>
      <c r="C520" s="8" t="s">
        <v>29</v>
      </c>
      <c r="D520" s="8" t="s">
        <v>35</v>
      </c>
      <c r="E520" s="7">
        <v>1984</v>
      </c>
      <c r="F520" s="8">
        <v>10</v>
      </c>
      <c r="G520" s="8">
        <v>15</v>
      </c>
      <c r="H520" s="8">
        <f t="shared" si="48"/>
        <v>49600</v>
      </c>
      <c r="I520" s="8">
        <v>3273.6</v>
      </c>
      <c r="J520" s="8">
        <f t="shared" si="49"/>
        <v>46326.400000000001</v>
      </c>
      <c r="K520" s="8">
        <v>19840</v>
      </c>
      <c r="L520" s="8">
        <f t="shared" si="50"/>
        <v>26486.400000000001</v>
      </c>
      <c r="M520" s="9">
        <v>41852</v>
      </c>
      <c r="N520" s="10">
        <f t="shared" si="51"/>
        <v>8</v>
      </c>
      <c r="O520" s="8" t="str">
        <f t="shared" si="52"/>
        <v>August</v>
      </c>
      <c r="P520" s="7">
        <f t="shared" si="53"/>
        <v>2014</v>
      </c>
    </row>
    <row r="521" spans="1:16" ht="15.75" customHeight="1" x14ac:dyDescent="0.3">
      <c r="A521" s="11" t="s">
        <v>26</v>
      </c>
      <c r="B521" s="11" t="s">
        <v>22</v>
      </c>
      <c r="C521" s="12" t="s">
        <v>29</v>
      </c>
      <c r="D521" s="12" t="s">
        <v>35</v>
      </c>
      <c r="E521" s="11">
        <v>2441</v>
      </c>
      <c r="F521" s="12">
        <v>10</v>
      </c>
      <c r="G521" s="12">
        <v>125</v>
      </c>
      <c r="H521" s="8">
        <f t="shared" si="48"/>
        <v>329535</v>
      </c>
      <c r="I521" s="12">
        <v>33563.75</v>
      </c>
      <c r="J521" s="8">
        <f t="shared" si="49"/>
        <v>295971.25</v>
      </c>
      <c r="K521" s="12">
        <v>292920</v>
      </c>
      <c r="L521" s="8">
        <f t="shared" si="50"/>
        <v>3051.25</v>
      </c>
      <c r="M521" s="13">
        <v>41913</v>
      </c>
      <c r="N521" s="10">
        <f t="shared" si="51"/>
        <v>10</v>
      </c>
      <c r="O521" s="8" t="str">
        <f t="shared" si="52"/>
        <v>October</v>
      </c>
      <c r="P521" s="7">
        <f t="shared" si="53"/>
        <v>2014</v>
      </c>
    </row>
    <row r="522" spans="1:16" ht="15.75" customHeight="1" x14ac:dyDescent="0.3">
      <c r="A522" s="7" t="s">
        <v>16</v>
      </c>
      <c r="B522" s="7" t="s">
        <v>20</v>
      </c>
      <c r="C522" s="8" t="s">
        <v>29</v>
      </c>
      <c r="D522" s="8" t="s">
        <v>35</v>
      </c>
      <c r="E522" s="7">
        <v>2992</v>
      </c>
      <c r="F522" s="8">
        <v>10</v>
      </c>
      <c r="G522" s="8">
        <v>20</v>
      </c>
      <c r="H522" s="8">
        <f t="shared" si="48"/>
        <v>89760</v>
      </c>
      <c r="I522" s="8">
        <v>6582.4</v>
      </c>
      <c r="J522" s="8">
        <f t="shared" si="49"/>
        <v>83177.600000000006</v>
      </c>
      <c r="K522" s="8">
        <v>29920</v>
      </c>
      <c r="L522" s="8">
        <f t="shared" si="50"/>
        <v>53257.600000000006</v>
      </c>
      <c r="M522" s="9">
        <v>41548</v>
      </c>
      <c r="N522" s="10">
        <f t="shared" si="51"/>
        <v>10</v>
      </c>
      <c r="O522" s="8" t="str">
        <f t="shared" si="52"/>
        <v>October</v>
      </c>
      <c r="P522" s="7">
        <f t="shared" si="53"/>
        <v>2013</v>
      </c>
    </row>
    <row r="523" spans="1:16" ht="15.75" customHeight="1" x14ac:dyDescent="0.3">
      <c r="A523" s="11" t="s">
        <v>27</v>
      </c>
      <c r="B523" s="11" t="s">
        <v>17</v>
      </c>
      <c r="C523" s="12" t="s">
        <v>29</v>
      </c>
      <c r="D523" s="12" t="s">
        <v>35</v>
      </c>
      <c r="E523" s="11">
        <v>1366</v>
      </c>
      <c r="F523" s="12">
        <v>10</v>
      </c>
      <c r="G523" s="12">
        <v>300</v>
      </c>
      <c r="H523" s="8">
        <f t="shared" si="48"/>
        <v>423460</v>
      </c>
      <c r="I523" s="12">
        <v>45078</v>
      </c>
      <c r="J523" s="8">
        <f t="shared" si="49"/>
        <v>378382</v>
      </c>
      <c r="K523" s="12">
        <v>341500</v>
      </c>
      <c r="L523" s="8">
        <f t="shared" si="50"/>
        <v>36882</v>
      </c>
      <c r="M523" s="13">
        <v>41944</v>
      </c>
      <c r="N523" s="10">
        <f t="shared" si="51"/>
        <v>11</v>
      </c>
      <c r="O523" s="8" t="str">
        <f t="shared" si="52"/>
        <v>November</v>
      </c>
      <c r="P523" s="7">
        <f t="shared" si="53"/>
        <v>2014</v>
      </c>
    </row>
    <row r="524" spans="1:16" ht="15.75" customHeight="1" x14ac:dyDescent="0.3">
      <c r="A524" s="7" t="s">
        <v>16</v>
      </c>
      <c r="B524" s="7" t="s">
        <v>22</v>
      </c>
      <c r="C524" s="8" t="s">
        <v>30</v>
      </c>
      <c r="D524" s="8" t="s">
        <v>35</v>
      </c>
      <c r="E524" s="7">
        <v>2805</v>
      </c>
      <c r="F524" s="8">
        <v>120</v>
      </c>
      <c r="G524" s="8">
        <v>20</v>
      </c>
      <c r="H524" s="8">
        <f t="shared" si="48"/>
        <v>392700</v>
      </c>
      <c r="I524" s="8">
        <v>6171</v>
      </c>
      <c r="J524" s="8">
        <f t="shared" si="49"/>
        <v>386529</v>
      </c>
      <c r="K524" s="8">
        <v>28050</v>
      </c>
      <c r="L524" s="8">
        <f t="shared" si="50"/>
        <v>358479</v>
      </c>
      <c r="M524" s="9">
        <v>41518</v>
      </c>
      <c r="N524" s="10">
        <f t="shared" si="51"/>
        <v>9</v>
      </c>
      <c r="O524" s="8" t="str">
        <f t="shared" si="52"/>
        <v>September</v>
      </c>
      <c r="P524" s="7">
        <f t="shared" si="53"/>
        <v>2013</v>
      </c>
    </row>
    <row r="525" spans="1:16" ht="15.75" customHeight="1" x14ac:dyDescent="0.3">
      <c r="A525" s="11" t="s">
        <v>21</v>
      </c>
      <c r="B525" s="11" t="s">
        <v>23</v>
      </c>
      <c r="C525" s="12" t="s">
        <v>30</v>
      </c>
      <c r="D525" s="12" t="s">
        <v>35</v>
      </c>
      <c r="E525" s="11">
        <v>655</v>
      </c>
      <c r="F525" s="12">
        <v>120</v>
      </c>
      <c r="G525" s="12">
        <v>15</v>
      </c>
      <c r="H525" s="8">
        <f t="shared" si="48"/>
        <v>88425</v>
      </c>
      <c r="I525" s="12">
        <v>1080.75</v>
      </c>
      <c r="J525" s="8">
        <f t="shared" si="49"/>
        <v>87344.25</v>
      </c>
      <c r="K525" s="12">
        <v>6550</v>
      </c>
      <c r="L525" s="8">
        <f t="shared" si="50"/>
        <v>80794.25</v>
      </c>
      <c r="M525" s="13">
        <v>41518</v>
      </c>
      <c r="N525" s="10">
        <f t="shared" si="51"/>
        <v>9</v>
      </c>
      <c r="O525" s="8" t="str">
        <f t="shared" si="52"/>
        <v>September</v>
      </c>
      <c r="P525" s="7">
        <f t="shared" si="53"/>
        <v>2013</v>
      </c>
    </row>
    <row r="526" spans="1:16" ht="15.75" customHeight="1" x14ac:dyDescent="0.3">
      <c r="A526" s="7" t="s">
        <v>16</v>
      </c>
      <c r="B526" s="7" t="s">
        <v>23</v>
      </c>
      <c r="C526" s="8" t="s">
        <v>30</v>
      </c>
      <c r="D526" s="8" t="s">
        <v>35</v>
      </c>
      <c r="E526" s="7">
        <v>344</v>
      </c>
      <c r="F526" s="8">
        <v>120</v>
      </c>
      <c r="G526" s="8">
        <v>350</v>
      </c>
      <c r="H526" s="8">
        <f t="shared" si="48"/>
        <v>161680</v>
      </c>
      <c r="I526" s="8">
        <v>13244</v>
      </c>
      <c r="J526" s="8">
        <f t="shared" si="49"/>
        <v>148436</v>
      </c>
      <c r="K526" s="8">
        <v>89440</v>
      </c>
      <c r="L526" s="8">
        <f t="shared" si="50"/>
        <v>58996</v>
      </c>
      <c r="M526" s="9">
        <v>41548</v>
      </c>
      <c r="N526" s="10">
        <f t="shared" si="51"/>
        <v>10</v>
      </c>
      <c r="O526" s="8" t="str">
        <f t="shared" si="52"/>
        <v>October</v>
      </c>
      <c r="P526" s="7">
        <f t="shared" si="53"/>
        <v>2013</v>
      </c>
    </row>
    <row r="527" spans="1:16" ht="15.75" customHeight="1" x14ac:dyDescent="0.3">
      <c r="A527" s="11" t="s">
        <v>16</v>
      </c>
      <c r="B527" s="11" t="s">
        <v>17</v>
      </c>
      <c r="C527" s="12" t="s">
        <v>30</v>
      </c>
      <c r="D527" s="12" t="s">
        <v>35</v>
      </c>
      <c r="E527" s="11">
        <v>1808</v>
      </c>
      <c r="F527" s="12">
        <v>120</v>
      </c>
      <c r="G527" s="12">
        <v>7</v>
      </c>
      <c r="H527" s="8">
        <f t="shared" si="48"/>
        <v>229616</v>
      </c>
      <c r="I527" s="12">
        <v>1392.16</v>
      </c>
      <c r="J527" s="8">
        <f t="shared" si="49"/>
        <v>228223.84</v>
      </c>
      <c r="K527" s="12">
        <v>9040</v>
      </c>
      <c r="L527" s="8">
        <f t="shared" si="50"/>
        <v>219183.84</v>
      </c>
      <c r="M527" s="13">
        <v>41944</v>
      </c>
      <c r="N527" s="10">
        <f t="shared" si="51"/>
        <v>11</v>
      </c>
      <c r="O527" s="8" t="str">
        <f t="shared" si="52"/>
        <v>November</v>
      </c>
      <c r="P527" s="7">
        <f t="shared" si="53"/>
        <v>2014</v>
      </c>
    </row>
    <row r="528" spans="1:16" ht="15.75" customHeight="1" x14ac:dyDescent="0.3">
      <c r="A528" s="7" t="s">
        <v>25</v>
      </c>
      <c r="B528" s="7" t="s">
        <v>22</v>
      </c>
      <c r="C528" s="8" t="s">
        <v>31</v>
      </c>
      <c r="D528" s="8" t="s">
        <v>35</v>
      </c>
      <c r="E528" s="7">
        <v>1734</v>
      </c>
      <c r="F528" s="8">
        <v>250</v>
      </c>
      <c r="G528" s="8">
        <v>12</v>
      </c>
      <c r="H528" s="8">
        <f t="shared" si="48"/>
        <v>454308</v>
      </c>
      <c r="I528" s="8">
        <v>2288.88</v>
      </c>
      <c r="J528" s="8">
        <f t="shared" si="49"/>
        <v>452019.12</v>
      </c>
      <c r="K528" s="8">
        <v>5202</v>
      </c>
      <c r="L528" s="8">
        <f t="shared" si="50"/>
        <v>446817.12</v>
      </c>
      <c r="M528" s="9">
        <v>41640</v>
      </c>
      <c r="N528" s="10">
        <f t="shared" si="51"/>
        <v>1</v>
      </c>
      <c r="O528" s="8" t="str">
        <f t="shared" si="52"/>
        <v>January</v>
      </c>
      <c r="P528" s="7">
        <f t="shared" si="53"/>
        <v>2014</v>
      </c>
    </row>
    <row r="529" spans="1:16" ht="15.75" customHeight="1" x14ac:dyDescent="0.3">
      <c r="A529" s="11" t="s">
        <v>26</v>
      </c>
      <c r="B529" s="11" t="s">
        <v>23</v>
      </c>
      <c r="C529" s="12" t="s">
        <v>31</v>
      </c>
      <c r="D529" s="12" t="s">
        <v>35</v>
      </c>
      <c r="E529" s="11">
        <v>554</v>
      </c>
      <c r="F529" s="12">
        <v>250</v>
      </c>
      <c r="G529" s="12">
        <v>125</v>
      </c>
      <c r="H529" s="8">
        <f t="shared" si="48"/>
        <v>207750</v>
      </c>
      <c r="I529" s="12">
        <v>7617.5</v>
      </c>
      <c r="J529" s="8">
        <f t="shared" si="49"/>
        <v>200132.5</v>
      </c>
      <c r="K529" s="12">
        <v>66480</v>
      </c>
      <c r="L529" s="8">
        <f t="shared" si="50"/>
        <v>133652.5</v>
      </c>
      <c r="M529" s="13">
        <v>41640</v>
      </c>
      <c r="N529" s="10">
        <f t="shared" si="51"/>
        <v>1</v>
      </c>
      <c r="O529" s="8" t="str">
        <f t="shared" si="52"/>
        <v>January</v>
      </c>
      <c r="P529" s="7">
        <f t="shared" si="53"/>
        <v>2014</v>
      </c>
    </row>
    <row r="530" spans="1:16" ht="15.75" customHeight="1" x14ac:dyDescent="0.3">
      <c r="A530" s="7" t="s">
        <v>16</v>
      </c>
      <c r="B530" s="7" t="s">
        <v>17</v>
      </c>
      <c r="C530" s="8" t="s">
        <v>31</v>
      </c>
      <c r="D530" s="8" t="s">
        <v>35</v>
      </c>
      <c r="E530" s="7">
        <v>2935</v>
      </c>
      <c r="F530" s="8">
        <v>250</v>
      </c>
      <c r="G530" s="8">
        <v>20</v>
      </c>
      <c r="H530" s="8">
        <f t="shared" si="48"/>
        <v>792450</v>
      </c>
      <c r="I530" s="8">
        <v>6457</v>
      </c>
      <c r="J530" s="8">
        <f t="shared" si="49"/>
        <v>785993</v>
      </c>
      <c r="K530" s="8">
        <v>29350</v>
      </c>
      <c r="L530" s="8">
        <f t="shared" si="50"/>
        <v>756643</v>
      </c>
      <c r="M530" s="9">
        <v>41579</v>
      </c>
      <c r="N530" s="10">
        <f t="shared" si="51"/>
        <v>11</v>
      </c>
      <c r="O530" s="8" t="str">
        <f t="shared" si="52"/>
        <v>November</v>
      </c>
      <c r="P530" s="7">
        <f t="shared" si="53"/>
        <v>2013</v>
      </c>
    </row>
    <row r="531" spans="1:16" ht="15.75" customHeight="1" x14ac:dyDescent="0.3">
      <c r="A531" s="11" t="s">
        <v>26</v>
      </c>
      <c r="B531" s="11" t="s">
        <v>20</v>
      </c>
      <c r="C531" s="12" t="s">
        <v>32</v>
      </c>
      <c r="D531" s="12" t="s">
        <v>35</v>
      </c>
      <c r="E531" s="11">
        <v>3165</v>
      </c>
      <c r="F531" s="12">
        <v>260</v>
      </c>
      <c r="G531" s="12">
        <v>125</v>
      </c>
      <c r="H531" s="8">
        <f t="shared" si="48"/>
        <v>1218525</v>
      </c>
      <c r="I531" s="12">
        <v>43518.75</v>
      </c>
      <c r="J531" s="8">
        <f t="shared" si="49"/>
        <v>1175006.25</v>
      </c>
      <c r="K531" s="12">
        <v>379800</v>
      </c>
      <c r="L531" s="8">
        <f t="shared" si="50"/>
        <v>795206.25</v>
      </c>
      <c r="M531" s="13">
        <v>41640</v>
      </c>
      <c r="N531" s="10">
        <f t="shared" si="51"/>
        <v>1</v>
      </c>
      <c r="O531" s="8" t="str">
        <f t="shared" si="52"/>
        <v>January</v>
      </c>
      <c r="P531" s="7">
        <f t="shared" si="53"/>
        <v>2014</v>
      </c>
    </row>
    <row r="532" spans="1:16" ht="15.75" customHeight="1" x14ac:dyDescent="0.3">
      <c r="A532" s="7" t="s">
        <v>16</v>
      </c>
      <c r="B532" s="7" t="s">
        <v>23</v>
      </c>
      <c r="C532" s="8" t="s">
        <v>32</v>
      </c>
      <c r="D532" s="8" t="s">
        <v>35</v>
      </c>
      <c r="E532" s="7">
        <v>2629</v>
      </c>
      <c r="F532" s="8">
        <v>260</v>
      </c>
      <c r="G532" s="8">
        <v>20</v>
      </c>
      <c r="H532" s="8">
        <f t="shared" si="48"/>
        <v>736120</v>
      </c>
      <c r="I532" s="8">
        <v>5783.8</v>
      </c>
      <c r="J532" s="8">
        <f t="shared" si="49"/>
        <v>730336.2</v>
      </c>
      <c r="K532" s="8">
        <v>26290</v>
      </c>
      <c r="L532" s="8">
        <f t="shared" si="50"/>
        <v>704046.2</v>
      </c>
      <c r="M532" s="9">
        <v>41640</v>
      </c>
      <c r="N532" s="10">
        <f t="shared" si="51"/>
        <v>1</v>
      </c>
      <c r="O532" s="8" t="str">
        <f t="shared" si="52"/>
        <v>January</v>
      </c>
      <c r="P532" s="7">
        <f t="shared" si="53"/>
        <v>2014</v>
      </c>
    </row>
    <row r="533" spans="1:16" ht="15.75" customHeight="1" x14ac:dyDescent="0.3">
      <c r="A533" s="11" t="s">
        <v>26</v>
      </c>
      <c r="B533" s="11" t="s">
        <v>22</v>
      </c>
      <c r="C533" s="12" t="s">
        <v>32</v>
      </c>
      <c r="D533" s="12" t="s">
        <v>35</v>
      </c>
      <c r="E533" s="11">
        <v>1433</v>
      </c>
      <c r="F533" s="12">
        <v>260</v>
      </c>
      <c r="G533" s="12">
        <v>125</v>
      </c>
      <c r="H533" s="8">
        <f t="shared" si="48"/>
        <v>551705</v>
      </c>
      <c r="I533" s="12">
        <v>19703.75</v>
      </c>
      <c r="J533" s="8">
        <f t="shared" si="49"/>
        <v>532001.25</v>
      </c>
      <c r="K533" s="12">
        <v>171960</v>
      </c>
      <c r="L533" s="8">
        <f t="shared" si="50"/>
        <v>360041.25</v>
      </c>
      <c r="M533" s="13">
        <v>41760</v>
      </c>
      <c r="N533" s="10">
        <f t="shared" si="51"/>
        <v>5</v>
      </c>
      <c r="O533" s="8" t="str">
        <f t="shared" si="52"/>
        <v>May</v>
      </c>
      <c r="P533" s="7">
        <f t="shared" si="53"/>
        <v>2014</v>
      </c>
    </row>
    <row r="534" spans="1:16" ht="15.75" customHeight="1" x14ac:dyDescent="0.3">
      <c r="A534" s="7" t="s">
        <v>26</v>
      </c>
      <c r="B534" s="7" t="s">
        <v>23</v>
      </c>
      <c r="C534" s="8" t="s">
        <v>32</v>
      </c>
      <c r="D534" s="8" t="s">
        <v>35</v>
      </c>
      <c r="E534" s="7">
        <v>947</v>
      </c>
      <c r="F534" s="8">
        <v>260</v>
      </c>
      <c r="G534" s="8">
        <v>125</v>
      </c>
      <c r="H534" s="8">
        <f t="shared" si="48"/>
        <v>364595</v>
      </c>
      <c r="I534" s="8">
        <v>13021.25</v>
      </c>
      <c r="J534" s="8">
        <f t="shared" si="49"/>
        <v>351573.75</v>
      </c>
      <c r="K534" s="8">
        <v>113640</v>
      </c>
      <c r="L534" s="8">
        <f t="shared" si="50"/>
        <v>237933.75</v>
      </c>
      <c r="M534" s="9">
        <v>41518</v>
      </c>
      <c r="N534" s="10">
        <f t="shared" si="51"/>
        <v>9</v>
      </c>
      <c r="O534" s="8" t="str">
        <f t="shared" si="52"/>
        <v>September</v>
      </c>
      <c r="P534" s="7">
        <f t="shared" si="53"/>
        <v>2013</v>
      </c>
    </row>
    <row r="535" spans="1:16" ht="15.75" customHeight="1" x14ac:dyDescent="0.3">
      <c r="A535" s="11" t="s">
        <v>16</v>
      </c>
      <c r="B535" s="11" t="s">
        <v>23</v>
      </c>
      <c r="C535" s="12" t="s">
        <v>32</v>
      </c>
      <c r="D535" s="12" t="s">
        <v>35</v>
      </c>
      <c r="E535" s="11">
        <v>344</v>
      </c>
      <c r="F535" s="12">
        <v>260</v>
      </c>
      <c r="G535" s="12">
        <v>350</v>
      </c>
      <c r="H535" s="8">
        <f t="shared" si="48"/>
        <v>209840</v>
      </c>
      <c r="I535" s="12">
        <v>13244</v>
      </c>
      <c r="J535" s="8">
        <f t="shared" si="49"/>
        <v>196596</v>
      </c>
      <c r="K535" s="12">
        <v>89440</v>
      </c>
      <c r="L535" s="8">
        <f t="shared" si="50"/>
        <v>107156</v>
      </c>
      <c r="M535" s="13">
        <v>41548</v>
      </c>
      <c r="N535" s="10">
        <f t="shared" si="51"/>
        <v>10</v>
      </c>
      <c r="O535" s="8" t="str">
        <f t="shared" si="52"/>
        <v>October</v>
      </c>
      <c r="P535" s="7">
        <f t="shared" si="53"/>
        <v>2013</v>
      </c>
    </row>
    <row r="536" spans="1:16" ht="15.75" customHeight="1" x14ac:dyDescent="0.3">
      <c r="A536" s="7" t="s">
        <v>21</v>
      </c>
      <c r="B536" s="7" t="s">
        <v>23</v>
      </c>
      <c r="C536" s="8" t="s">
        <v>32</v>
      </c>
      <c r="D536" s="8" t="s">
        <v>35</v>
      </c>
      <c r="E536" s="7">
        <v>2157</v>
      </c>
      <c r="F536" s="8">
        <v>260</v>
      </c>
      <c r="G536" s="8">
        <v>15</v>
      </c>
      <c r="H536" s="8">
        <f t="shared" si="48"/>
        <v>593175</v>
      </c>
      <c r="I536" s="8">
        <v>3559.05</v>
      </c>
      <c r="J536" s="8">
        <f t="shared" si="49"/>
        <v>589615.94999999995</v>
      </c>
      <c r="K536" s="8">
        <v>21570</v>
      </c>
      <c r="L536" s="8">
        <f t="shared" si="50"/>
        <v>568045.94999999995</v>
      </c>
      <c r="M536" s="9">
        <v>41974</v>
      </c>
      <c r="N536" s="10">
        <f t="shared" si="51"/>
        <v>12</v>
      </c>
      <c r="O536" s="8" t="str">
        <f t="shared" si="52"/>
        <v>December</v>
      </c>
      <c r="P536" s="7">
        <f t="shared" si="53"/>
        <v>2014</v>
      </c>
    </row>
    <row r="537" spans="1:16" ht="15.75" customHeight="1" x14ac:dyDescent="0.3">
      <c r="A537" s="11" t="s">
        <v>16</v>
      </c>
      <c r="B537" s="11" t="s">
        <v>28</v>
      </c>
      <c r="C537" s="12" t="s">
        <v>29</v>
      </c>
      <c r="D537" s="12" t="s">
        <v>35</v>
      </c>
      <c r="E537" s="11">
        <v>380</v>
      </c>
      <c r="F537" s="12">
        <v>10</v>
      </c>
      <c r="G537" s="12">
        <v>7</v>
      </c>
      <c r="H537" s="8">
        <f t="shared" si="48"/>
        <v>6460</v>
      </c>
      <c r="I537" s="12">
        <v>292.60000000000002</v>
      </c>
      <c r="J537" s="8">
        <f t="shared" si="49"/>
        <v>6167.4</v>
      </c>
      <c r="K537" s="12">
        <v>1900</v>
      </c>
      <c r="L537" s="8">
        <f t="shared" si="50"/>
        <v>4267.3999999999996</v>
      </c>
      <c r="M537" s="13">
        <v>41518</v>
      </c>
      <c r="N537" s="10">
        <f t="shared" si="51"/>
        <v>9</v>
      </c>
      <c r="O537" s="8" t="str">
        <f t="shared" si="52"/>
        <v>September</v>
      </c>
      <c r="P537" s="7">
        <f t="shared" si="53"/>
        <v>2013</v>
      </c>
    </row>
    <row r="538" spans="1:16" ht="15.75" customHeight="1" x14ac:dyDescent="0.3">
      <c r="A538" s="7" t="s">
        <v>16</v>
      </c>
      <c r="B538" s="7" t="s">
        <v>23</v>
      </c>
      <c r="C538" s="8" t="s">
        <v>18</v>
      </c>
      <c r="D538" s="8" t="s">
        <v>35</v>
      </c>
      <c r="E538" s="7">
        <v>886</v>
      </c>
      <c r="F538" s="8">
        <v>3</v>
      </c>
      <c r="G538" s="8">
        <v>350</v>
      </c>
      <c r="H538" s="8">
        <f t="shared" si="48"/>
        <v>312758</v>
      </c>
      <c r="I538" s="8">
        <v>37212</v>
      </c>
      <c r="J538" s="8">
        <f t="shared" si="49"/>
        <v>275546</v>
      </c>
      <c r="K538" s="8">
        <v>230360</v>
      </c>
      <c r="L538" s="8">
        <f t="shared" si="50"/>
        <v>45186</v>
      </c>
      <c r="M538" s="9">
        <v>41791</v>
      </c>
      <c r="N538" s="10">
        <f t="shared" si="51"/>
        <v>6</v>
      </c>
      <c r="O538" s="8" t="str">
        <f t="shared" si="52"/>
        <v>June</v>
      </c>
      <c r="P538" s="7">
        <f t="shared" si="53"/>
        <v>2014</v>
      </c>
    </row>
    <row r="539" spans="1:16" ht="15.75" customHeight="1" x14ac:dyDescent="0.3">
      <c r="A539" s="11" t="s">
        <v>26</v>
      </c>
      <c r="B539" s="11" t="s">
        <v>17</v>
      </c>
      <c r="C539" s="12" t="s">
        <v>18</v>
      </c>
      <c r="D539" s="12" t="s">
        <v>35</v>
      </c>
      <c r="E539" s="11">
        <v>2416</v>
      </c>
      <c r="F539" s="12">
        <v>3</v>
      </c>
      <c r="G539" s="12">
        <v>125</v>
      </c>
      <c r="H539" s="8">
        <f t="shared" si="48"/>
        <v>309248</v>
      </c>
      <c r="I539" s="12">
        <v>36240</v>
      </c>
      <c r="J539" s="8">
        <f t="shared" si="49"/>
        <v>273008</v>
      </c>
      <c r="K539" s="12">
        <v>289920</v>
      </c>
      <c r="L539" s="8">
        <f t="shared" si="50"/>
        <v>-16912</v>
      </c>
      <c r="M539" s="13">
        <v>41518</v>
      </c>
      <c r="N539" s="10">
        <f t="shared" si="51"/>
        <v>9</v>
      </c>
      <c r="O539" s="8" t="str">
        <f t="shared" si="52"/>
        <v>September</v>
      </c>
      <c r="P539" s="7">
        <f t="shared" si="53"/>
        <v>2013</v>
      </c>
    </row>
    <row r="540" spans="1:16" ht="15.75" customHeight="1" x14ac:dyDescent="0.3">
      <c r="A540" s="7" t="s">
        <v>26</v>
      </c>
      <c r="B540" s="7" t="s">
        <v>23</v>
      </c>
      <c r="C540" s="8" t="s">
        <v>18</v>
      </c>
      <c r="D540" s="8" t="s">
        <v>35</v>
      </c>
      <c r="E540" s="7">
        <v>2156</v>
      </c>
      <c r="F540" s="8">
        <v>3</v>
      </c>
      <c r="G540" s="8">
        <v>125</v>
      </c>
      <c r="H540" s="8">
        <f t="shared" si="48"/>
        <v>275968</v>
      </c>
      <c r="I540" s="8">
        <v>32340</v>
      </c>
      <c r="J540" s="8">
        <f t="shared" si="49"/>
        <v>243628</v>
      </c>
      <c r="K540" s="8">
        <v>258720</v>
      </c>
      <c r="L540" s="8">
        <f t="shared" si="50"/>
        <v>-15092</v>
      </c>
      <c r="M540" s="9">
        <v>41913</v>
      </c>
      <c r="N540" s="10">
        <f t="shared" si="51"/>
        <v>10</v>
      </c>
      <c r="O540" s="8" t="str">
        <f t="shared" si="52"/>
        <v>October</v>
      </c>
      <c r="P540" s="7">
        <f t="shared" si="53"/>
        <v>2014</v>
      </c>
    </row>
    <row r="541" spans="1:16" ht="15.75" customHeight="1" x14ac:dyDescent="0.3">
      <c r="A541" s="11" t="s">
        <v>21</v>
      </c>
      <c r="B541" s="11" t="s">
        <v>17</v>
      </c>
      <c r="C541" s="12" t="s">
        <v>18</v>
      </c>
      <c r="D541" s="12" t="s">
        <v>35</v>
      </c>
      <c r="E541" s="11">
        <v>2689</v>
      </c>
      <c r="F541" s="12">
        <v>3</v>
      </c>
      <c r="G541" s="12">
        <v>15</v>
      </c>
      <c r="H541" s="8">
        <f t="shared" si="48"/>
        <v>48402</v>
      </c>
      <c r="I541" s="12">
        <v>4840.2</v>
      </c>
      <c r="J541" s="8">
        <f t="shared" si="49"/>
        <v>43561.8</v>
      </c>
      <c r="K541" s="12">
        <v>26890</v>
      </c>
      <c r="L541" s="8">
        <f t="shared" si="50"/>
        <v>16671.800000000003</v>
      </c>
      <c r="M541" s="13">
        <v>41944</v>
      </c>
      <c r="N541" s="10">
        <f t="shared" si="51"/>
        <v>11</v>
      </c>
      <c r="O541" s="8" t="str">
        <f t="shared" si="52"/>
        <v>November</v>
      </c>
      <c r="P541" s="7">
        <f t="shared" si="53"/>
        <v>2014</v>
      </c>
    </row>
    <row r="542" spans="1:16" ht="15.75" customHeight="1" x14ac:dyDescent="0.3">
      <c r="A542" s="7" t="s">
        <v>21</v>
      </c>
      <c r="B542" s="7" t="s">
        <v>28</v>
      </c>
      <c r="C542" s="8" t="s">
        <v>24</v>
      </c>
      <c r="D542" s="8" t="s">
        <v>35</v>
      </c>
      <c r="E542" s="7">
        <v>677</v>
      </c>
      <c r="F542" s="8">
        <v>5</v>
      </c>
      <c r="G542" s="8">
        <v>15</v>
      </c>
      <c r="H542" s="8">
        <f t="shared" si="48"/>
        <v>13540</v>
      </c>
      <c r="I542" s="8">
        <v>1218.5999999999999</v>
      </c>
      <c r="J542" s="8">
        <f t="shared" si="49"/>
        <v>12321.4</v>
      </c>
      <c r="K542" s="8">
        <v>6770</v>
      </c>
      <c r="L542" s="8">
        <f t="shared" si="50"/>
        <v>5551.4</v>
      </c>
      <c r="M542" s="9">
        <v>41699</v>
      </c>
      <c r="N542" s="10">
        <f t="shared" si="51"/>
        <v>3</v>
      </c>
      <c r="O542" s="8" t="str">
        <f t="shared" si="52"/>
        <v>March</v>
      </c>
      <c r="P542" s="7">
        <f t="shared" si="53"/>
        <v>2014</v>
      </c>
    </row>
    <row r="543" spans="1:16" ht="15.75" customHeight="1" x14ac:dyDescent="0.3">
      <c r="A543" s="11" t="s">
        <v>27</v>
      </c>
      <c r="B543" s="11" t="s">
        <v>22</v>
      </c>
      <c r="C543" s="12" t="s">
        <v>24</v>
      </c>
      <c r="D543" s="12" t="s">
        <v>35</v>
      </c>
      <c r="E543" s="11">
        <v>1773</v>
      </c>
      <c r="F543" s="12">
        <v>5</v>
      </c>
      <c r="G543" s="12">
        <v>300</v>
      </c>
      <c r="H543" s="8">
        <f t="shared" si="48"/>
        <v>540765</v>
      </c>
      <c r="I543" s="12">
        <v>63828</v>
      </c>
      <c r="J543" s="8">
        <f t="shared" si="49"/>
        <v>476937</v>
      </c>
      <c r="K543" s="12">
        <v>443250</v>
      </c>
      <c r="L543" s="8">
        <f t="shared" si="50"/>
        <v>33687</v>
      </c>
      <c r="M543" s="13">
        <v>41730</v>
      </c>
      <c r="N543" s="10">
        <f t="shared" si="51"/>
        <v>4</v>
      </c>
      <c r="O543" s="8" t="str">
        <f t="shared" si="52"/>
        <v>April</v>
      </c>
      <c r="P543" s="7">
        <f t="shared" si="53"/>
        <v>2014</v>
      </c>
    </row>
    <row r="544" spans="1:16" ht="15.75" customHeight="1" x14ac:dyDescent="0.3">
      <c r="A544" s="7" t="s">
        <v>16</v>
      </c>
      <c r="B544" s="7" t="s">
        <v>23</v>
      </c>
      <c r="C544" s="8" t="s">
        <v>24</v>
      </c>
      <c r="D544" s="8" t="s">
        <v>35</v>
      </c>
      <c r="E544" s="7">
        <v>2420</v>
      </c>
      <c r="F544" s="8">
        <v>5</v>
      </c>
      <c r="G544" s="8">
        <v>7</v>
      </c>
      <c r="H544" s="8">
        <f t="shared" si="48"/>
        <v>29040</v>
      </c>
      <c r="I544" s="8">
        <v>2032.8</v>
      </c>
      <c r="J544" s="8">
        <f t="shared" si="49"/>
        <v>27007.200000000001</v>
      </c>
      <c r="K544" s="8">
        <v>12100</v>
      </c>
      <c r="L544" s="8">
        <f t="shared" si="50"/>
        <v>14907.2</v>
      </c>
      <c r="M544" s="9">
        <v>41883</v>
      </c>
      <c r="N544" s="10">
        <f t="shared" si="51"/>
        <v>9</v>
      </c>
      <c r="O544" s="8" t="str">
        <f t="shared" si="52"/>
        <v>September</v>
      </c>
      <c r="P544" s="7">
        <f t="shared" si="53"/>
        <v>2014</v>
      </c>
    </row>
    <row r="545" spans="1:16" ht="15.75" customHeight="1" x14ac:dyDescent="0.3">
      <c r="A545" s="11" t="s">
        <v>16</v>
      </c>
      <c r="B545" s="11" t="s">
        <v>17</v>
      </c>
      <c r="C545" s="12" t="s">
        <v>24</v>
      </c>
      <c r="D545" s="12" t="s">
        <v>35</v>
      </c>
      <c r="E545" s="11">
        <v>2734</v>
      </c>
      <c r="F545" s="12">
        <v>5</v>
      </c>
      <c r="G545" s="12">
        <v>7</v>
      </c>
      <c r="H545" s="8">
        <f t="shared" si="48"/>
        <v>32808</v>
      </c>
      <c r="I545" s="12">
        <v>2296.56</v>
      </c>
      <c r="J545" s="8">
        <f t="shared" si="49"/>
        <v>30511.439999999999</v>
      </c>
      <c r="K545" s="12">
        <v>13670</v>
      </c>
      <c r="L545" s="8">
        <f t="shared" si="50"/>
        <v>16841.439999999999</v>
      </c>
      <c r="M545" s="13">
        <v>41913</v>
      </c>
      <c r="N545" s="10">
        <f t="shared" si="51"/>
        <v>10</v>
      </c>
      <c r="O545" s="8" t="str">
        <f t="shared" si="52"/>
        <v>October</v>
      </c>
      <c r="P545" s="7">
        <f t="shared" si="53"/>
        <v>2014</v>
      </c>
    </row>
    <row r="546" spans="1:16" ht="15.75" customHeight="1" x14ac:dyDescent="0.3">
      <c r="A546" s="7" t="s">
        <v>16</v>
      </c>
      <c r="B546" s="7" t="s">
        <v>23</v>
      </c>
      <c r="C546" s="8" t="s">
        <v>24</v>
      </c>
      <c r="D546" s="8" t="s">
        <v>35</v>
      </c>
      <c r="E546" s="7">
        <v>1715</v>
      </c>
      <c r="F546" s="8">
        <v>5</v>
      </c>
      <c r="G546" s="8">
        <v>20</v>
      </c>
      <c r="H546" s="8">
        <f t="shared" si="48"/>
        <v>42875</v>
      </c>
      <c r="I546" s="8">
        <v>4116</v>
      </c>
      <c r="J546" s="8">
        <f t="shared" si="49"/>
        <v>38759</v>
      </c>
      <c r="K546" s="8">
        <v>17150</v>
      </c>
      <c r="L546" s="8">
        <f t="shared" si="50"/>
        <v>21609</v>
      </c>
      <c r="M546" s="9">
        <v>41548</v>
      </c>
      <c r="N546" s="10">
        <f t="shared" si="51"/>
        <v>10</v>
      </c>
      <c r="O546" s="8" t="str">
        <f t="shared" si="52"/>
        <v>October</v>
      </c>
      <c r="P546" s="7">
        <f t="shared" si="53"/>
        <v>2013</v>
      </c>
    </row>
    <row r="547" spans="1:16" ht="15.75" customHeight="1" x14ac:dyDescent="0.3">
      <c r="A547" s="11" t="s">
        <v>27</v>
      </c>
      <c r="B547" s="11" t="s">
        <v>22</v>
      </c>
      <c r="C547" s="12" t="s">
        <v>24</v>
      </c>
      <c r="D547" s="12" t="s">
        <v>35</v>
      </c>
      <c r="E547" s="11">
        <v>1186</v>
      </c>
      <c r="F547" s="12">
        <v>5</v>
      </c>
      <c r="G547" s="12">
        <v>300</v>
      </c>
      <c r="H547" s="8">
        <f t="shared" si="48"/>
        <v>361730</v>
      </c>
      <c r="I547" s="12">
        <v>42696</v>
      </c>
      <c r="J547" s="8">
        <f t="shared" si="49"/>
        <v>319034</v>
      </c>
      <c r="K547" s="12">
        <v>296500</v>
      </c>
      <c r="L547" s="8">
        <f t="shared" si="50"/>
        <v>22534</v>
      </c>
      <c r="M547" s="13">
        <v>41609</v>
      </c>
      <c r="N547" s="10">
        <f t="shared" si="51"/>
        <v>12</v>
      </c>
      <c r="O547" s="8" t="str">
        <f t="shared" si="52"/>
        <v>December</v>
      </c>
      <c r="P547" s="7">
        <f t="shared" si="53"/>
        <v>2013</v>
      </c>
    </row>
    <row r="548" spans="1:16" ht="15.75" customHeight="1" x14ac:dyDescent="0.3">
      <c r="A548" s="7" t="s">
        <v>27</v>
      </c>
      <c r="B548" s="7" t="s">
        <v>28</v>
      </c>
      <c r="C548" s="8" t="s">
        <v>29</v>
      </c>
      <c r="D548" s="8" t="s">
        <v>35</v>
      </c>
      <c r="E548" s="7">
        <v>3495</v>
      </c>
      <c r="F548" s="8">
        <v>10</v>
      </c>
      <c r="G548" s="8">
        <v>300</v>
      </c>
      <c r="H548" s="8">
        <f t="shared" si="48"/>
        <v>1083450</v>
      </c>
      <c r="I548" s="8">
        <v>125820</v>
      </c>
      <c r="J548" s="8">
        <f t="shared" si="49"/>
        <v>957630</v>
      </c>
      <c r="K548" s="8">
        <v>873750</v>
      </c>
      <c r="L548" s="8">
        <f t="shared" si="50"/>
        <v>83880</v>
      </c>
      <c r="M548" s="9">
        <v>41640</v>
      </c>
      <c r="N548" s="10">
        <f t="shared" si="51"/>
        <v>1</v>
      </c>
      <c r="O548" s="8" t="str">
        <f t="shared" si="52"/>
        <v>January</v>
      </c>
      <c r="P548" s="7">
        <f t="shared" si="53"/>
        <v>2014</v>
      </c>
    </row>
    <row r="549" spans="1:16" ht="15.75" customHeight="1" x14ac:dyDescent="0.3">
      <c r="A549" s="11" t="s">
        <v>16</v>
      </c>
      <c r="B549" s="11" t="s">
        <v>23</v>
      </c>
      <c r="C549" s="12" t="s">
        <v>29</v>
      </c>
      <c r="D549" s="12" t="s">
        <v>35</v>
      </c>
      <c r="E549" s="11">
        <v>886</v>
      </c>
      <c r="F549" s="12">
        <v>10</v>
      </c>
      <c r="G549" s="12">
        <v>350</v>
      </c>
      <c r="H549" s="8">
        <f t="shared" si="48"/>
        <v>318960</v>
      </c>
      <c r="I549" s="12">
        <v>37212</v>
      </c>
      <c r="J549" s="8">
        <f t="shared" si="49"/>
        <v>281748</v>
      </c>
      <c r="K549" s="12">
        <v>230360</v>
      </c>
      <c r="L549" s="8">
        <f t="shared" si="50"/>
        <v>51388</v>
      </c>
      <c r="M549" s="13">
        <v>41791</v>
      </c>
      <c r="N549" s="10">
        <f t="shared" si="51"/>
        <v>6</v>
      </c>
      <c r="O549" s="8" t="str">
        <f t="shared" si="52"/>
        <v>June</v>
      </c>
      <c r="P549" s="7">
        <f t="shared" si="53"/>
        <v>2014</v>
      </c>
    </row>
    <row r="550" spans="1:16" ht="15.75" customHeight="1" x14ac:dyDescent="0.3">
      <c r="A550" s="7" t="s">
        <v>26</v>
      </c>
      <c r="B550" s="7" t="s">
        <v>23</v>
      </c>
      <c r="C550" s="8" t="s">
        <v>29</v>
      </c>
      <c r="D550" s="8" t="s">
        <v>35</v>
      </c>
      <c r="E550" s="7">
        <v>2156</v>
      </c>
      <c r="F550" s="8">
        <v>10</v>
      </c>
      <c r="G550" s="8">
        <v>125</v>
      </c>
      <c r="H550" s="8">
        <f t="shared" si="48"/>
        <v>291060</v>
      </c>
      <c r="I550" s="8">
        <v>32340</v>
      </c>
      <c r="J550" s="8">
        <f t="shared" si="49"/>
        <v>258720</v>
      </c>
      <c r="K550" s="8">
        <v>258720</v>
      </c>
      <c r="L550" s="8">
        <f t="shared" si="50"/>
        <v>0</v>
      </c>
      <c r="M550" s="9">
        <v>41913</v>
      </c>
      <c r="N550" s="10">
        <f t="shared" si="51"/>
        <v>10</v>
      </c>
      <c r="O550" s="8" t="str">
        <f t="shared" si="52"/>
        <v>October</v>
      </c>
      <c r="P550" s="7">
        <f t="shared" si="53"/>
        <v>2014</v>
      </c>
    </row>
    <row r="551" spans="1:16" ht="15.75" customHeight="1" x14ac:dyDescent="0.3">
      <c r="A551" s="11" t="s">
        <v>16</v>
      </c>
      <c r="B551" s="11" t="s">
        <v>23</v>
      </c>
      <c r="C551" s="12" t="s">
        <v>29</v>
      </c>
      <c r="D551" s="12" t="s">
        <v>35</v>
      </c>
      <c r="E551" s="11">
        <v>905</v>
      </c>
      <c r="F551" s="12">
        <v>10</v>
      </c>
      <c r="G551" s="12">
        <v>20</v>
      </c>
      <c r="H551" s="8">
        <f t="shared" si="48"/>
        <v>27150</v>
      </c>
      <c r="I551" s="12">
        <v>2172</v>
      </c>
      <c r="J551" s="8">
        <f t="shared" si="49"/>
        <v>24978</v>
      </c>
      <c r="K551" s="12">
        <v>9050</v>
      </c>
      <c r="L551" s="8">
        <f t="shared" si="50"/>
        <v>15928</v>
      </c>
      <c r="M551" s="13">
        <v>41913</v>
      </c>
      <c r="N551" s="10">
        <f t="shared" si="51"/>
        <v>10</v>
      </c>
      <c r="O551" s="8" t="str">
        <f t="shared" si="52"/>
        <v>October</v>
      </c>
      <c r="P551" s="7">
        <f t="shared" si="53"/>
        <v>2014</v>
      </c>
    </row>
    <row r="552" spans="1:16" ht="15.75" customHeight="1" x14ac:dyDescent="0.3">
      <c r="A552" s="7" t="s">
        <v>16</v>
      </c>
      <c r="B552" s="7" t="s">
        <v>23</v>
      </c>
      <c r="C552" s="8" t="s">
        <v>29</v>
      </c>
      <c r="D552" s="8" t="s">
        <v>35</v>
      </c>
      <c r="E552" s="7">
        <v>1715</v>
      </c>
      <c r="F552" s="8">
        <v>10</v>
      </c>
      <c r="G552" s="8">
        <v>20</v>
      </c>
      <c r="H552" s="8">
        <f t="shared" si="48"/>
        <v>51450</v>
      </c>
      <c r="I552" s="8">
        <v>4116</v>
      </c>
      <c r="J552" s="8">
        <f t="shared" si="49"/>
        <v>47334</v>
      </c>
      <c r="K552" s="8">
        <v>17150</v>
      </c>
      <c r="L552" s="8">
        <f t="shared" si="50"/>
        <v>30184</v>
      </c>
      <c r="M552" s="9">
        <v>41548</v>
      </c>
      <c r="N552" s="10">
        <f t="shared" si="51"/>
        <v>10</v>
      </c>
      <c r="O552" s="8" t="str">
        <f t="shared" si="52"/>
        <v>October</v>
      </c>
      <c r="P552" s="7">
        <f t="shared" si="53"/>
        <v>2013</v>
      </c>
    </row>
    <row r="553" spans="1:16" ht="15.75" customHeight="1" x14ac:dyDescent="0.3">
      <c r="A553" s="11" t="s">
        <v>16</v>
      </c>
      <c r="B553" s="11" t="s">
        <v>22</v>
      </c>
      <c r="C553" s="12" t="s">
        <v>29</v>
      </c>
      <c r="D553" s="12" t="s">
        <v>35</v>
      </c>
      <c r="E553" s="11">
        <v>1594</v>
      </c>
      <c r="F553" s="12">
        <v>10</v>
      </c>
      <c r="G553" s="12">
        <v>350</v>
      </c>
      <c r="H553" s="8">
        <f t="shared" si="48"/>
        <v>573840</v>
      </c>
      <c r="I553" s="12">
        <v>66948</v>
      </c>
      <c r="J553" s="8">
        <f t="shared" si="49"/>
        <v>506892</v>
      </c>
      <c r="K553" s="12">
        <v>414440</v>
      </c>
      <c r="L553" s="8">
        <f t="shared" si="50"/>
        <v>92452</v>
      </c>
      <c r="M553" s="13">
        <v>41944</v>
      </c>
      <c r="N553" s="10">
        <f t="shared" si="51"/>
        <v>11</v>
      </c>
      <c r="O553" s="8" t="str">
        <f t="shared" si="52"/>
        <v>November</v>
      </c>
      <c r="P553" s="7">
        <f t="shared" si="53"/>
        <v>2014</v>
      </c>
    </row>
    <row r="554" spans="1:16" ht="15.75" customHeight="1" x14ac:dyDescent="0.3">
      <c r="A554" s="7" t="s">
        <v>27</v>
      </c>
      <c r="B554" s="7" t="s">
        <v>20</v>
      </c>
      <c r="C554" s="8" t="s">
        <v>29</v>
      </c>
      <c r="D554" s="8" t="s">
        <v>35</v>
      </c>
      <c r="E554" s="7">
        <v>1359</v>
      </c>
      <c r="F554" s="8">
        <v>10</v>
      </c>
      <c r="G554" s="8">
        <v>300</v>
      </c>
      <c r="H554" s="8">
        <f t="shared" si="48"/>
        <v>421290</v>
      </c>
      <c r="I554" s="8">
        <v>48924</v>
      </c>
      <c r="J554" s="8">
        <f t="shared" si="49"/>
        <v>372366</v>
      </c>
      <c r="K554" s="8">
        <v>339750</v>
      </c>
      <c r="L554" s="8">
        <f t="shared" si="50"/>
        <v>32616</v>
      </c>
      <c r="M554" s="9">
        <v>41944</v>
      </c>
      <c r="N554" s="10">
        <f t="shared" si="51"/>
        <v>11</v>
      </c>
      <c r="O554" s="8" t="str">
        <f t="shared" si="52"/>
        <v>November</v>
      </c>
      <c r="P554" s="7">
        <f t="shared" si="53"/>
        <v>2014</v>
      </c>
    </row>
    <row r="555" spans="1:16" ht="15.75" customHeight="1" x14ac:dyDescent="0.3">
      <c r="A555" s="11" t="s">
        <v>27</v>
      </c>
      <c r="B555" s="11" t="s">
        <v>23</v>
      </c>
      <c r="C555" s="12" t="s">
        <v>29</v>
      </c>
      <c r="D555" s="12" t="s">
        <v>35</v>
      </c>
      <c r="E555" s="11">
        <v>2150</v>
      </c>
      <c r="F555" s="12">
        <v>10</v>
      </c>
      <c r="G555" s="12">
        <v>300</v>
      </c>
      <c r="H555" s="8">
        <f t="shared" si="48"/>
        <v>666500</v>
      </c>
      <c r="I555" s="12">
        <v>77400</v>
      </c>
      <c r="J555" s="8">
        <f t="shared" si="49"/>
        <v>589100</v>
      </c>
      <c r="K555" s="12">
        <v>537500</v>
      </c>
      <c r="L555" s="8">
        <f t="shared" si="50"/>
        <v>51600</v>
      </c>
      <c r="M555" s="13">
        <v>41944</v>
      </c>
      <c r="N555" s="10">
        <f t="shared" si="51"/>
        <v>11</v>
      </c>
      <c r="O555" s="8" t="str">
        <f t="shared" si="52"/>
        <v>November</v>
      </c>
      <c r="P555" s="7">
        <f t="shared" si="53"/>
        <v>2014</v>
      </c>
    </row>
    <row r="556" spans="1:16" ht="15.75" customHeight="1" x14ac:dyDescent="0.3">
      <c r="A556" s="7" t="s">
        <v>16</v>
      </c>
      <c r="B556" s="7" t="s">
        <v>23</v>
      </c>
      <c r="C556" s="8" t="s">
        <v>29</v>
      </c>
      <c r="D556" s="8" t="s">
        <v>35</v>
      </c>
      <c r="E556" s="7">
        <v>1197</v>
      </c>
      <c r="F556" s="8">
        <v>10</v>
      </c>
      <c r="G556" s="8">
        <v>350</v>
      </c>
      <c r="H556" s="8">
        <f t="shared" si="48"/>
        <v>430920</v>
      </c>
      <c r="I556" s="8">
        <v>50274</v>
      </c>
      <c r="J556" s="8">
        <f t="shared" si="49"/>
        <v>380646</v>
      </c>
      <c r="K556" s="8">
        <v>311220</v>
      </c>
      <c r="L556" s="8">
        <f t="shared" si="50"/>
        <v>69426</v>
      </c>
      <c r="M556" s="9">
        <v>41944</v>
      </c>
      <c r="N556" s="10">
        <f t="shared" si="51"/>
        <v>11</v>
      </c>
      <c r="O556" s="8" t="str">
        <f t="shared" si="52"/>
        <v>November</v>
      </c>
      <c r="P556" s="7">
        <f t="shared" si="53"/>
        <v>2014</v>
      </c>
    </row>
    <row r="557" spans="1:16" ht="15.75" customHeight="1" x14ac:dyDescent="0.3">
      <c r="A557" s="11" t="s">
        <v>21</v>
      </c>
      <c r="B557" s="11" t="s">
        <v>23</v>
      </c>
      <c r="C557" s="12" t="s">
        <v>29</v>
      </c>
      <c r="D557" s="12" t="s">
        <v>35</v>
      </c>
      <c r="E557" s="11">
        <v>380</v>
      </c>
      <c r="F557" s="12">
        <v>10</v>
      </c>
      <c r="G557" s="12">
        <v>15</v>
      </c>
      <c r="H557" s="8">
        <f t="shared" si="48"/>
        <v>9500</v>
      </c>
      <c r="I557" s="12">
        <v>684</v>
      </c>
      <c r="J557" s="8">
        <f t="shared" si="49"/>
        <v>8816</v>
      </c>
      <c r="K557" s="12">
        <v>3800</v>
      </c>
      <c r="L557" s="8">
        <f t="shared" si="50"/>
        <v>5016</v>
      </c>
      <c r="M557" s="13">
        <v>41609</v>
      </c>
      <c r="N557" s="10">
        <f t="shared" si="51"/>
        <v>12</v>
      </c>
      <c r="O557" s="8" t="str">
        <f t="shared" si="52"/>
        <v>December</v>
      </c>
      <c r="P557" s="7">
        <f t="shared" si="53"/>
        <v>2013</v>
      </c>
    </row>
    <row r="558" spans="1:16" ht="15.75" customHeight="1" x14ac:dyDescent="0.3">
      <c r="A558" s="7" t="s">
        <v>16</v>
      </c>
      <c r="B558" s="7" t="s">
        <v>23</v>
      </c>
      <c r="C558" s="8" t="s">
        <v>29</v>
      </c>
      <c r="D558" s="8" t="s">
        <v>35</v>
      </c>
      <c r="E558" s="7">
        <v>1233</v>
      </c>
      <c r="F558" s="8">
        <v>10</v>
      </c>
      <c r="G558" s="8">
        <v>20</v>
      </c>
      <c r="H558" s="8">
        <f t="shared" si="48"/>
        <v>36990</v>
      </c>
      <c r="I558" s="8">
        <v>2959.2</v>
      </c>
      <c r="J558" s="8">
        <f t="shared" si="49"/>
        <v>34030.800000000003</v>
      </c>
      <c r="K558" s="8">
        <v>12330</v>
      </c>
      <c r="L558" s="8">
        <f t="shared" si="50"/>
        <v>21700.800000000003</v>
      </c>
      <c r="M558" s="9">
        <v>41974</v>
      </c>
      <c r="N558" s="10">
        <f t="shared" si="51"/>
        <v>12</v>
      </c>
      <c r="O558" s="8" t="str">
        <f t="shared" si="52"/>
        <v>December</v>
      </c>
      <c r="P558" s="7">
        <f t="shared" si="53"/>
        <v>2014</v>
      </c>
    </row>
    <row r="559" spans="1:16" ht="15.75" customHeight="1" x14ac:dyDescent="0.3">
      <c r="A559" s="11" t="s">
        <v>16</v>
      </c>
      <c r="B559" s="11" t="s">
        <v>23</v>
      </c>
      <c r="C559" s="12" t="s">
        <v>30</v>
      </c>
      <c r="D559" s="12" t="s">
        <v>35</v>
      </c>
      <c r="E559" s="11">
        <v>1395</v>
      </c>
      <c r="F559" s="12">
        <v>120</v>
      </c>
      <c r="G559" s="12">
        <v>350</v>
      </c>
      <c r="H559" s="8">
        <f t="shared" si="48"/>
        <v>655650</v>
      </c>
      <c r="I559" s="12">
        <v>58590</v>
      </c>
      <c r="J559" s="8">
        <f t="shared" si="49"/>
        <v>597060</v>
      </c>
      <c r="K559" s="12">
        <v>362700</v>
      </c>
      <c r="L559" s="8">
        <f t="shared" si="50"/>
        <v>234360</v>
      </c>
      <c r="M559" s="13">
        <v>41821</v>
      </c>
      <c r="N559" s="10">
        <f t="shared" si="51"/>
        <v>7</v>
      </c>
      <c r="O559" s="8" t="str">
        <f t="shared" si="52"/>
        <v>July</v>
      </c>
      <c r="P559" s="7">
        <f t="shared" si="53"/>
        <v>2014</v>
      </c>
    </row>
    <row r="560" spans="1:16" ht="15.75" customHeight="1" x14ac:dyDescent="0.3">
      <c r="A560" s="7" t="s">
        <v>16</v>
      </c>
      <c r="B560" s="7" t="s">
        <v>28</v>
      </c>
      <c r="C560" s="8" t="s">
        <v>30</v>
      </c>
      <c r="D560" s="8" t="s">
        <v>35</v>
      </c>
      <c r="E560" s="7">
        <v>986</v>
      </c>
      <c r="F560" s="8">
        <v>120</v>
      </c>
      <c r="G560" s="8">
        <v>350</v>
      </c>
      <c r="H560" s="8">
        <f t="shared" si="48"/>
        <v>463420</v>
      </c>
      <c r="I560" s="8">
        <v>41412</v>
      </c>
      <c r="J560" s="8">
        <f t="shared" si="49"/>
        <v>422008</v>
      </c>
      <c r="K560" s="8">
        <v>256360</v>
      </c>
      <c r="L560" s="8">
        <f t="shared" si="50"/>
        <v>165648</v>
      </c>
      <c r="M560" s="9">
        <v>41913</v>
      </c>
      <c r="N560" s="10">
        <f t="shared" si="51"/>
        <v>10</v>
      </c>
      <c r="O560" s="8" t="str">
        <f t="shared" si="52"/>
        <v>October</v>
      </c>
      <c r="P560" s="7">
        <f t="shared" si="53"/>
        <v>2014</v>
      </c>
    </row>
    <row r="561" spans="1:16" ht="15.75" customHeight="1" x14ac:dyDescent="0.3">
      <c r="A561" s="11" t="s">
        <v>16</v>
      </c>
      <c r="B561" s="11" t="s">
        <v>23</v>
      </c>
      <c r="C561" s="12" t="s">
        <v>30</v>
      </c>
      <c r="D561" s="12" t="s">
        <v>35</v>
      </c>
      <c r="E561" s="11">
        <v>905</v>
      </c>
      <c r="F561" s="12">
        <v>120</v>
      </c>
      <c r="G561" s="12">
        <v>20</v>
      </c>
      <c r="H561" s="8">
        <f t="shared" si="48"/>
        <v>126700</v>
      </c>
      <c r="I561" s="12">
        <v>2172</v>
      </c>
      <c r="J561" s="8">
        <f t="shared" si="49"/>
        <v>124528</v>
      </c>
      <c r="K561" s="12">
        <v>9050</v>
      </c>
      <c r="L561" s="8">
        <f t="shared" si="50"/>
        <v>115478</v>
      </c>
      <c r="M561" s="13">
        <v>41913</v>
      </c>
      <c r="N561" s="10">
        <f t="shared" si="51"/>
        <v>10</v>
      </c>
      <c r="O561" s="8" t="str">
        <f t="shared" si="52"/>
        <v>October</v>
      </c>
      <c r="P561" s="7">
        <f t="shared" si="53"/>
        <v>2014</v>
      </c>
    </row>
    <row r="562" spans="1:16" ht="15.75" customHeight="1" x14ac:dyDescent="0.3">
      <c r="A562" s="7" t="s">
        <v>25</v>
      </c>
      <c r="B562" s="7" t="s">
        <v>17</v>
      </c>
      <c r="C562" s="8" t="s">
        <v>31</v>
      </c>
      <c r="D562" s="8" t="s">
        <v>35</v>
      </c>
      <c r="E562" s="7">
        <v>2109</v>
      </c>
      <c r="F562" s="8">
        <v>250</v>
      </c>
      <c r="G562" s="8">
        <v>12</v>
      </c>
      <c r="H562" s="8">
        <f t="shared" si="48"/>
        <v>552558</v>
      </c>
      <c r="I562" s="8">
        <v>3036.96</v>
      </c>
      <c r="J562" s="8">
        <f t="shared" si="49"/>
        <v>549521.04</v>
      </c>
      <c r="K562" s="8">
        <v>6327</v>
      </c>
      <c r="L562" s="8">
        <f t="shared" si="50"/>
        <v>543194.04</v>
      </c>
      <c r="M562" s="9">
        <v>41760</v>
      </c>
      <c r="N562" s="10">
        <f t="shared" si="51"/>
        <v>5</v>
      </c>
      <c r="O562" s="8" t="str">
        <f t="shared" si="52"/>
        <v>May</v>
      </c>
      <c r="P562" s="7">
        <f t="shared" si="53"/>
        <v>2014</v>
      </c>
    </row>
    <row r="563" spans="1:16" ht="15.75" customHeight="1" x14ac:dyDescent="0.3">
      <c r="A563" s="11" t="s">
        <v>21</v>
      </c>
      <c r="B563" s="11" t="s">
        <v>22</v>
      </c>
      <c r="C563" s="12" t="s">
        <v>31</v>
      </c>
      <c r="D563" s="12" t="s">
        <v>35</v>
      </c>
      <c r="E563" s="11">
        <v>3874.5</v>
      </c>
      <c r="F563" s="12">
        <v>250</v>
      </c>
      <c r="G563" s="12">
        <v>15</v>
      </c>
      <c r="H563" s="8">
        <f t="shared" si="48"/>
        <v>1026742.5</v>
      </c>
      <c r="I563" s="12">
        <v>6974.0999999999995</v>
      </c>
      <c r="J563" s="8">
        <f t="shared" si="49"/>
        <v>1019768.4</v>
      </c>
      <c r="K563" s="12">
        <v>38745</v>
      </c>
      <c r="L563" s="8">
        <f t="shared" si="50"/>
        <v>981023.4</v>
      </c>
      <c r="M563" s="13">
        <v>41821</v>
      </c>
      <c r="N563" s="10">
        <f t="shared" si="51"/>
        <v>7</v>
      </c>
      <c r="O563" s="8" t="str">
        <f t="shared" si="52"/>
        <v>July</v>
      </c>
      <c r="P563" s="7">
        <f t="shared" si="53"/>
        <v>2014</v>
      </c>
    </row>
    <row r="564" spans="1:16" ht="15.75" customHeight="1" x14ac:dyDescent="0.3">
      <c r="A564" s="7" t="s">
        <v>16</v>
      </c>
      <c r="B564" s="7" t="s">
        <v>17</v>
      </c>
      <c r="C564" s="8" t="s">
        <v>31</v>
      </c>
      <c r="D564" s="8" t="s">
        <v>35</v>
      </c>
      <c r="E564" s="7">
        <v>623</v>
      </c>
      <c r="F564" s="8">
        <v>250</v>
      </c>
      <c r="G564" s="8">
        <v>350</v>
      </c>
      <c r="H564" s="8">
        <f t="shared" si="48"/>
        <v>373800</v>
      </c>
      <c r="I564" s="8">
        <v>26166</v>
      </c>
      <c r="J564" s="8">
        <f t="shared" si="49"/>
        <v>347634</v>
      </c>
      <c r="K564" s="8">
        <v>161980</v>
      </c>
      <c r="L564" s="8">
        <f t="shared" si="50"/>
        <v>185654</v>
      </c>
      <c r="M564" s="9">
        <v>41518</v>
      </c>
      <c r="N564" s="10">
        <f t="shared" si="51"/>
        <v>9</v>
      </c>
      <c r="O564" s="8" t="str">
        <f t="shared" si="52"/>
        <v>September</v>
      </c>
      <c r="P564" s="7">
        <f t="shared" si="53"/>
        <v>2013</v>
      </c>
    </row>
    <row r="565" spans="1:16" ht="15.75" customHeight="1" x14ac:dyDescent="0.3">
      <c r="A565" s="11" t="s">
        <v>16</v>
      </c>
      <c r="B565" s="11" t="s">
        <v>28</v>
      </c>
      <c r="C565" s="12" t="s">
        <v>31</v>
      </c>
      <c r="D565" s="12" t="s">
        <v>35</v>
      </c>
      <c r="E565" s="11">
        <v>986</v>
      </c>
      <c r="F565" s="12">
        <v>250</v>
      </c>
      <c r="G565" s="12">
        <v>350</v>
      </c>
      <c r="H565" s="8">
        <f t="shared" si="48"/>
        <v>591600</v>
      </c>
      <c r="I565" s="12">
        <v>41412</v>
      </c>
      <c r="J565" s="8">
        <f t="shared" si="49"/>
        <v>550188</v>
      </c>
      <c r="K565" s="12">
        <v>256360</v>
      </c>
      <c r="L565" s="8">
        <f t="shared" si="50"/>
        <v>293828</v>
      </c>
      <c r="M565" s="13">
        <v>41913</v>
      </c>
      <c r="N565" s="10">
        <f t="shared" si="51"/>
        <v>10</v>
      </c>
      <c r="O565" s="8" t="str">
        <f t="shared" si="52"/>
        <v>October</v>
      </c>
      <c r="P565" s="7">
        <f t="shared" si="53"/>
        <v>2014</v>
      </c>
    </row>
    <row r="566" spans="1:16" ht="15.75" customHeight="1" x14ac:dyDescent="0.3">
      <c r="A566" s="7" t="s">
        <v>26</v>
      </c>
      <c r="B566" s="7" t="s">
        <v>28</v>
      </c>
      <c r="C566" s="8" t="s">
        <v>31</v>
      </c>
      <c r="D566" s="8" t="s">
        <v>35</v>
      </c>
      <c r="E566" s="7">
        <v>2387</v>
      </c>
      <c r="F566" s="8">
        <v>250</v>
      </c>
      <c r="G566" s="8">
        <v>125</v>
      </c>
      <c r="H566" s="8">
        <f t="shared" si="48"/>
        <v>895125</v>
      </c>
      <c r="I566" s="8">
        <v>35805</v>
      </c>
      <c r="J566" s="8">
        <f t="shared" si="49"/>
        <v>859320</v>
      </c>
      <c r="K566" s="8">
        <v>286440</v>
      </c>
      <c r="L566" s="8">
        <f t="shared" si="50"/>
        <v>572880</v>
      </c>
      <c r="M566" s="9">
        <v>41944</v>
      </c>
      <c r="N566" s="10">
        <f t="shared" si="51"/>
        <v>11</v>
      </c>
      <c r="O566" s="8" t="str">
        <f t="shared" si="52"/>
        <v>November</v>
      </c>
      <c r="P566" s="7">
        <f t="shared" si="53"/>
        <v>2014</v>
      </c>
    </row>
    <row r="567" spans="1:16" ht="15.75" customHeight="1" x14ac:dyDescent="0.3">
      <c r="A567" s="11" t="s">
        <v>16</v>
      </c>
      <c r="B567" s="11" t="s">
        <v>23</v>
      </c>
      <c r="C567" s="12" t="s">
        <v>31</v>
      </c>
      <c r="D567" s="12" t="s">
        <v>35</v>
      </c>
      <c r="E567" s="11">
        <v>1233</v>
      </c>
      <c r="F567" s="12">
        <v>250</v>
      </c>
      <c r="G567" s="12">
        <v>20</v>
      </c>
      <c r="H567" s="8">
        <f t="shared" si="48"/>
        <v>332910</v>
      </c>
      <c r="I567" s="12">
        <v>2959.2</v>
      </c>
      <c r="J567" s="8">
        <f t="shared" si="49"/>
        <v>329950.8</v>
      </c>
      <c r="K567" s="12">
        <v>12330</v>
      </c>
      <c r="L567" s="8">
        <f t="shared" si="50"/>
        <v>317620.8</v>
      </c>
      <c r="M567" s="13">
        <v>41974</v>
      </c>
      <c r="N567" s="10">
        <f t="shared" si="51"/>
        <v>12</v>
      </c>
      <c r="O567" s="8" t="str">
        <f t="shared" si="52"/>
        <v>December</v>
      </c>
      <c r="P567" s="7">
        <f t="shared" si="53"/>
        <v>2014</v>
      </c>
    </row>
    <row r="568" spans="1:16" ht="15.75" customHeight="1" x14ac:dyDescent="0.3">
      <c r="A568" s="7" t="s">
        <v>16</v>
      </c>
      <c r="B568" s="7" t="s">
        <v>28</v>
      </c>
      <c r="C568" s="8" t="s">
        <v>32</v>
      </c>
      <c r="D568" s="8" t="s">
        <v>35</v>
      </c>
      <c r="E568" s="7">
        <v>270</v>
      </c>
      <c r="F568" s="8">
        <v>260</v>
      </c>
      <c r="G568" s="8">
        <v>350</v>
      </c>
      <c r="H568" s="8">
        <f t="shared" si="48"/>
        <v>164700</v>
      </c>
      <c r="I568" s="8">
        <v>11340</v>
      </c>
      <c r="J568" s="8">
        <f t="shared" si="49"/>
        <v>153360</v>
      </c>
      <c r="K568" s="8">
        <v>70200</v>
      </c>
      <c r="L568" s="8">
        <f t="shared" si="50"/>
        <v>83160</v>
      </c>
      <c r="M568" s="9">
        <v>41671</v>
      </c>
      <c r="N568" s="10">
        <f t="shared" si="51"/>
        <v>2</v>
      </c>
      <c r="O568" s="8" t="str">
        <f t="shared" si="52"/>
        <v>February</v>
      </c>
      <c r="P568" s="7">
        <f t="shared" si="53"/>
        <v>2014</v>
      </c>
    </row>
    <row r="569" spans="1:16" ht="15.75" customHeight="1" x14ac:dyDescent="0.3">
      <c r="A569" s="11" t="s">
        <v>16</v>
      </c>
      <c r="B569" s="11" t="s">
        <v>22</v>
      </c>
      <c r="C569" s="12" t="s">
        <v>32</v>
      </c>
      <c r="D569" s="12" t="s">
        <v>35</v>
      </c>
      <c r="E569" s="11">
        <v>3421.5</v>
      </c>
      <c r="F569" s="12">
        <v>260</v>
      </c>
      <c r="G569" s="12">
        <v>7</v>
      </c>
      <c r="H569" s="8">
        <f t="shared" si="48"/>
        <v>913540.5</v>
      </c>
      <c r="I569" s="12">
        <v>2874.06</v>
      </c>
      <c r="J569" s="8">
        <f t="shared" si="49"/>
        <v>910666.44</v>
      </c>
      <c r="K569" s="12">
        <v>17107.5</v>
      </c>
      <c r="L569" s="8">
        <f t="shared" si="50"/>
        <v>893558.94</v>
      </c>
      <c r="M569" s="13">
        <v>41821</v>
      </c>
      <c r="N569" s="10">
        <f t="shared" si="51"/>
        <v>7</v>
      </c>
      <c r="O569" s="8" t="str">
        <f t="shared" si="52"/>
        <v>July</v>
      </c>
      <c r="P569" s="7">
        <f t="shared" si="53"/>
        <v>2014</v>
      </c>
    </row>
    <row r="570" spans="1:16" ht="15.75" customHeight="1" x14ac:dyDescent="0.3">
      <c r="A570" s="7" t="s">
        <v>16</v>
      </c>
      <c r="B570" s="7" t="s">
        <v>17</v>
      </c>
      <c r="C570" s="8" t="s">
        <v>32</v>
      </c>
      <c r="D570" s="8" t="s">
        <v>35</v>
      </c>
      <c r="E570" s="7">
        <v>2734</v>
      </c>
      <c r="F570" s="8">
        <v>260</v>
      </c>
      <c r="G570" s="8">
        <v>7</v>
      </c>
      <c r="H570" s="8">
        <f t="shared" si="48"/>
        <v>729978</v>
      </c>
      <c r="I570" s="8">
        <v>2296.56</v>
      </c>
      <c r="J570" s="8">
        <f t="shared" si="49"/>
        <v>727681.44</v>
      </c>
      <c r="K570" s="8">
        <v>13670</v>
      </c>
      <c r="L570" s="8">
        <f t="shared" si="50"/>
        <v>714011.44</v>
      </c>
      <c r="M570" s="9">
        <v>41913</v>
      </c>
      <c r="N570" s="10">
        <f t="shared" si="51"/>
        <v>10</v>
      </c>
      <c r="O570" s="8" t="str">
        <f t="shared" si="52"/>
        <v>October</v>
      </c>
      <c r="P570" s="7">
        <f t="shared" si="53"/>
        <v>2014</v>
      </c>
    </row>
    <row r="571" spans="1:16" ht="15.75" customHeight="1" x14ac:dyDescent="0.3">
      <c r="A571" s="11" t="s">
        <v>21</v>
      </c>
      <c r="B571" s="11" t="s">
        <v>28</v>
      </c>
      <c r="C571" s="12" t="s">
        <v>32</v>
      </c>
      <c r="D571" s="12" t="s">
        <v>35</v>
      </c>
      <c r="E571" s="11">
        <v>2548</v>
      </c>
      <c r="F571" s="12">
        <v>260</v>
      </c>
      <c r="G571" s="12">
        <v>15</v>
      </c>
      <c r="H571" s="8">
        <f t="shared" si="48"/>
        <v>700700</v>
      </c>
      <c r="I571" s="12">
        <v>4586.3999999999996</v>
      </c>
      <c r="J571" s="8">
        <f t="shared" si="49"/>
        <v>696113.6</v>
      </c>
      <c r="K571" s="12">
        <v>25480</v>
      </c>
      <c r="L571" s="8">
        <f t="shared" si="50"/>
        <v>670633.6</v>
      </c>
      <c r="M571" s="13">
        <v>41579</v>
      </c>
      <c r="N571" s="10">
        <f t="shared" si="51"/>
        <v>11</v>
      </c>
      <c r="O571" s="8" t="str">
        <f t="shared" si="52"/>
        <v>November</v>
      </c>
      <c r="P571" s="7">
        <f t="shared" si="53"/>
        <v>2013</v>
      </c>
    </row>
    <row r="572" spans="1:16" ht="15.75" customHeight="1" x14ac:dyDescent="0.3">
      <c r="A572" s="7" t="s">
        <v>16</v>
      </c>
      <c r="B572" s="7" t="s">
        <v>22</v>
      </c>
      <c r="C572" s="8" t="s">
        <v>18</v>
      </c>
      <c r="D572" s="8" t="s">
        <v>35</v>
      </c>
      <c r="E572" s="7">
        <v>2521.5</v>
      </c>
      <c r="F572" s="8">
        <v>3</v>
      </c>
      <c r="G572" s="8">
        <v>20</v>
      </c>
      <c r="H572" s="8">
        <f t="shared" si="48"/>
        <v>57994.5</v>
      </c>
      <c r="I572" s="8">
        <v>6051.6</v>
      </c>
      <c r="J572" s="8">
        <f t="shared" si="49"/>
        <v>51942.9</v>
      </c>
      <c r="K572" s="8">
        <v>25215</v>
      </c>
      <c r="L572" s="8">
        <f t="shared" si="50"/>
        <v>26727.9</v>
      </c>
      <c r="M572" s="9">
        <v>41640</v>
      </c>
      <c r="N572" s="10">
        <f t="shared" si="51"/>
        <v>1</v>
      </c>
      <c r="O572" s="8" t="str">
        <f t="shared" si="52"/>
        <v>January</v>
      </c>
      <c r="P572" s="7">
        <f t="shared" si="53"/>
        <v>2014</v>
      </c>
    </row>
    <row r="573" spans="1:16" ht="15.75" customHeight="1" x14ac:dyDescent="0.3">
      <c r="A573" s="11" t="s">
        <v>25</v>
      </c>
      <c r="B573" s="11" t="s">
        <v>23</v>
      </c>
      <c r="C573" s="12" t="s">
        <v>24</v>
      </c>
      <c r="D573" s="12" t="s">
        <v>35</v>
      </c>
      <c r="E573" s="11">
        <v>2661</v>
      </c>
      <c r="F573" s="12">
        <v>5</v>
      </c>
      <c r="G573" s="12">
        <v>12</v>
      </c>
      <c r="H573" s="8">
        <f t="shared" si="48"/>
        <v>45237</v>
      </c>
      <c r="I573" s="12">
        <v>3831.84</v>
      </c>
      <c r="J573" s="8">
        <f t="shared" si="49"/>
        <v>41405.160000000003</v>
      </c>
      <c r="K573" s="12">
        <v>7983</v>
      </c>
      <c r="L573" s="8">
        <f t="shared" si="50"/>
        <v>33422.160000000003</v>
      </c>
      <c r="M573" s="13">
        <v>41760</v>
      </c>
      <c r="N573" s="10">
        <f t="shared" si="51"/>
        <v>5</v>
      </c>
      <c r="O573" s="8" t="str">
        <f t="shared" si="52"/>
        <v>May</v>
      </c>
      <c r="P573" s="7">
        <f t="shared" si="53"/>
        <v>2014</v>
      </c>
    </row>
    <row r="574" spans="1:16" ht="15.75" customHeight="1" x14ac:dyDescent="0.3">
      <c r="A574" s="7" t="s">
        <v>16</v>
      </c>
      <c r="B574" s="7" t="s">
        <v>20</v>
      </c>
      <c r="C574" s="8" t="s">
        <v>29</v>
      </c>
      <c r="D574" s="8" t="s">
        <v>35</v>
      </c>
      <c r="E574" s="7">
        <v>1531</v>
      </c>
      <c r="F574" s="8">
        <v>10</v>
      </c>
      <c r="G574" s="8">
        <v>20</v>
      </c>
      <c r="H574" s="8">
        <f t="shared" si="48"/>
        <v>45930</v>
      </c>
      <c r="I574" s="8">
        <v>3674.4</v>
      </c>
      <c r="J574" s="8">
        <f t="shared" si="49"/>
        <v>42255.6</v>
      </c>
      <c r="K574" s="8">
        <v>15310</v>
      </c>
      <c r="L574" s="8">
        <f t="shared" si="50"/>
        <v>26945.599999999999</v>
      </c>
      <c r="M574" s="9">
        <v>41974</v>
      </c>
      <c r="N574" s="10">
        <f t="shared" si="51"/>
        <v>12</v>
      </c>
      <c r="O574" s="8" t="str">
        <f t="shared" si="52"/>
        <v>December</v>
      </c>
      <c r="P574" s="7">
        <f t="shared" si="53"/>
        <v>2014</v>
      </c>
    </row>
    <row r="575" spans="1:16" ht="15.75" customHeight="1" x14ac:dyDescent="0.3">
      <c r="A575" s="11" t="s">
        <v>16</v>
      </c>
      <c r="B575" s="11" t="s">
        <v>22</v>
      </c>
      <c r="C575" s="12" t="s">
        <v>31</v>
      </c>
      <c r="D575" s="12" t="s">
        <v>35</v>
      </c>
      <c r="E575" s="11">
        <v>1491</v>
      </c>
      <c r="F575" s="12">
        <v>250</v>
      </c>
      <c r="G575" s="12">
        <v>7</v>
      </c>
      <c r="H575" s="8">
        <f t="shared" si="48"/>
        <v>383187</v>
      </c>
      <c r="I575" s="12">
        <v>1252.44</v>
      </c>
      <c r="J575" s="8">
        <f t="shared" si="49"/>
        <v>381934.56</v>
      </c>
      <c r="K575" s="12">
        <v>7455</v>
      </c>
      <c r="L575" s="8">
        <f t="shared" si="50"/>
        <v>374479.56</v>
      </c>
      <c r="M575" s="13">
        <v>41699</v>
      </c>
      <c r="N575" s="10">
        <f t="shared" si="51"/>
        <v>3</v>
      </c>
      <c r="O575" s="8" t="str">
        <f t="shared" si="52"/>
        <v>March</v>
      </c>
      <c r="P575" s="7">
        <f t="shared" si="53"/>
        <v>2014</v>
      </c>
    </row>
    <row r="576" spans="1:16" ht="15.75" customHeight="1" x14ac:dyDescent="0.3">
      <c r="A576" s="7" t="s">
        <v>16</v>
      </c>
      <c r="B576" s="7" t="s">
        <v>20</v>
      </c>
      <c r="C576" s="8" t="s">
        <v>31</v>
      </c>
      <c r="D576" s="8" t="s">
        <v>35</v>
      </c>
      <c r="E576" s="7">
        <v>1531</v>
      </c>
      <c r="F576" s="8">
        <v>250</v>
      </c>
      <c r="G576" s="8">
        <v>20</v>
      </c>
      <c r="H576" s="8">
        <f t="shared" si="48"/>
        <v>413370</v>
      </c>
      <c r="I576" s="8">
        <v>3674.4</v>
      </c>
      <c r="J576" s="8">
        <f t="shared" si="49"/>
        <v>409695.6</v>
      </c>
      <c r="K576" s="8">
        <v>15310</v>
      </c>
      <c r="L576" s="8">
        <f t="shared" si="50"/>
        <v>394385.6</v>
      </c>
      <c r="M576" s="9">
        <v>41974</v>
      </c>
      <c r="N576" s="10">
        <f t="shared" si="51"/>
        <v>12</v>
      </c>
      <c r="O576" s="8" t="str">
        <f t="shared" si="52"/>
        <v>December</v>
      </c>
      <c r="P576" s="7">
        <f t="shared" si="53"/>
        <v>2014</v>
      </c>
    </row>
    <row r="577" spans="1:16" ht="15.75" customHeight="1" x14ac:dyDescent="0.3">
      <c r="A577" s="11" t="s">
        <v>25</v>
      </c>
      <c r="B577" s="11" t="s">
        <v>17</v>
      </c>
      <c r="C577" s="12" t="s">
        <v>32</v>
      </c>
      <c r="D577" s="12" t="s">
        <v>35</v>
      </c>
      <c r="E577" s="11">
        <v>2761</v>
      </c>
      <c r="F577" s="12">
        <v>260</v>
      </c>
      <c r="G577" s="12">
        <v>12</v>
      </c>
      <c r="H577" s="8">
        <f t="shared" si="48"/>
        <v>750992</v>
      </c>
      <c r="I577" s="12">
        <v>3975.84</v>
      </c>
      <c r="J577" s="8">
        <f t="shared" si="49"/>
        <v>747016.16</v>
      </c>
      <c r="K577" s="12">
        <v>8283</v>
      </c>
      <c r="L577" s="8">
        <f t="shared" si="50"/>
        <v>738733.16</v>
      </c>
      <c r="M577" s="13">
        <v>41518</v>
      </c>
      <c r="N577" s="10">
        <f t="shared" si="51"/>
        <v>9</v>
      </c>
      <c r="O577" s="8" t="str">
        <f t="shared" si="52"/>
        <v>September</v>
      </c>
      <c r="P577" s="7">
        <f t="shared" si="53"/>
        <v>2013</v>
      </c>
    </row>
    <row r="578" spans="1:16" ht="15.75" customHeight="1" x14ac:dyDescent="0.3">
      <c r="A578" s="7" t="s">
        <v>21</v>
      </c>
      <c r="B578" s="7" t="s">
        <v>28</v>
      </c>
      <c r="C578" s="8" t="s">
        <v>18</v>
      </c>
      <c r="D578" s="8" t="s">
        <v>35</v>
      </c>
      <c r="E578" s="7">
        <v>2567</v>
      </c>
      <c r="F578" s="8">
        <v>3</v>
      </c>
      <c r="G578" s="8">
        <v>15</v>
      </c>
      <c r="H578" s="8">
        <f t="shared" si="48"/>
        <v>46206</v>
      </c>
      <c r="I578" s="8">
        <v>5005.6499999999996</v>
      </c>
      <c r="J578" s="8">
        <f t="shared" si="49"/>
        <v>41200.35</v>
      </c>
      <c r="K578" s="8">
        <v>25670</v>
      </c>
      <c r="L578" s="8">
        <f t="shared" si="50"/>
        <v>15530.349999999999</v>
      </c>
      <c r="M578" s="9">
        <v>41791</v>
      </c>
      <c r="N578" s="10">
        <f t="shared" si="51"/>
        <v>6</v>
      </c>
      <c r="O578" s="8" t="str">
        <f t="shared" si="52"/>
        <v>June</v>
      </c>
      <c r="P578" s="7">
        <f t="shared" si="53"/>
        <v>2014</v>
      </c>
    </row>
    <row r="579" spans="1:16" ht="15.75" customHeight="1" x14ac:dyDescent="0.3">
      <c r="A579" s="11" t="s">
        <v>21</v>
      </c>
      <c r="B579" s="11" t="s">
        <v>28</v>
      </c>
      <c r="C579" s="12" t="s">
        <v>31</v>
      </c>
      <c r="D579" s="12" t="s">
        <v>35</v>
      </c>
      <c r="E579" s="11">
        <v>2567</v>
      </c>
      <c r="F579" s="12">
        <v>250</v>
      </c>
      <c r="G579" s="12">
        <v>15</v>
      </c>
      <c r="H579" s="8">
        <f t="shared" ref="H579:H642" si="54">E579*(F579+G579)</f>
        <v>680255</v>
      </c>
      <c r="I579" s="12">
        <v>5005.6499999999996</v>
      </c>
      <c r="J579" s="8">
        <f t="shared" ref="J579:J642" si="55">H579-I579</f>
        <v>675249.35</v>
      </c>
      <c r="K579" s="12">
        <v>25670</v>
      </c>
      <c r="L579" s="8">
        <f t="shared" ref="L579:L642" si="56">J579-K579</f>
        <v>649579.35</v>
      </c>
      <c r="M579" s="13">
        <v>41791</v>
      </c>
      <c r="N579" s="10">
        <f t="shared" ref="N579:N642" si="57">MONTH(M579)</f>
        <v>6</v>
      </c>
      <c r="O579" s="8" t="str">
        <f t="shared" ref="O579:O642" si="58">TEXT(M579,"MMMM")</f>
        <v>June</v>
      </c>
      <c r="P579" s="7">
        <f t="shared" ref="P579:P642" si="59">YEAR(M579)</f>
        <v>2014</v>
      </c>
    </row>
    <row r="580" spans="1:16" ht="15.75" customHeight="1" x14ac:dyDescent="0.3">
      <c r="A580" s="7" t="s">
        <v>16</v>
      </c>
      <c r="B580" s="7" t="s">
        <v>17</v>
      </c>
      <c r="C580" s="8" t="s">
        <v>18</v>
      </c>
      <c r="D580" s="8" t="s">
        <v>35</v>
      </c>
      <c r="E580" s="7">
        <v>923</v>
      </c>
      <c r="F580" s="8">
        <v>3</v>
      </c>
      <c r="G580" s="8">
        <v>350</v>
      </c>
      <c r="H580" s="8">
        <f t="shared" si="54"/>
        <v>325819</v>
      </c>
      <c r="I580" s="8">
        <v>41996.5</v>
      </c>
      <c r="J580" s="8">
        <f t="shared" si="55"/>
        <v>283822.5</v>
      </c>
      <c r="K580" s="8">
        <v>239980</v>
      </c>
      <c r="L580" s="8">
        <f t="shared" si="56"/>
        <v>43842.5</v>
      </c>
      <c r="M580" s="9">
        <v>41699</v>
      </c>
      <c r="N580" s="10">
        <f t="shared" si="57"/>
        <v>3</v>
      </c>
      <c r="O580" s="8" t="str">
        <f t="shared" si="58"/>
        <v>March</v>
      </c>
      <c r="P580" s="7">
        <f t="shared" si="59"/>
        <v>2014</v>
      </c>
    </row>
    <row r="581" spans="1:16" ht="15.75" customHeight="1" x14ac:dyDescent="0.3">
      <c r="A581" s="11" t="s">
        <v>16</v>
      </c>
      <c r="B581" s="11" t="s">
        <v>22</v>
      </c>
      <c r="C581" s="12" t="s">
        <v>18</v>
      </c>
      <c r="D581" s="12" t="s">
        <v>35</v>
      </c>
      <c r="E581" s="11">
        <v>1790</v>
      </c>
      <c r="F581" s="12">
        <v>3</v>
      </c>
      <c r="G581" s="12">
        <v>350</v>
      </c>
      <c r="H581" s="8">
        <f t="shared" si="54"/>
        <v>631870</v>
      </c>
      <c r="I581" s="12">
        <v>81445</v>
      </c>
      <c r="J581" s="8">
        <f t="shared" si="55"/>
        <v>550425</v>
      </c>
      <c r="K581" s="12">
        <v>465400</v>
      </c>
      <c r="L581" s="8">
        <f t="shared" si="56"/>
        <v>85025</v>
      </c>
      <c r="M581" s="13">
        <v>41699</v>
      </c>
      <c r="N581" s="10">
        <f t="shared" si="57"/>
        <v>3</v>
      </c>
      <c r="O581" s="8" t="str">
        <f t="shared" si="58"/>
        <v>March</v>
      </c>
      <c r="P581" s="7">
        <f t="shared" si="59"/>
        <v>2014</v>
      </c>
    </row>
    <row r="582" spans="1:16" ht="15.75" customHeight="1" x14ac:dyDescent="0.3">
      <c r="A582" s="7" t="s">
        <v>16</v>
      </c>
      <c r="B582" s="7" t="s">
        <v>20</v>
      </c>
      <c r="C582" s="8" t="s">
        <v>18</v>
      </c>
      <c r="D582" s="8" t="s">
        <v>35</v>
      </c>
      <c r="E582" s="7">
        <v>442</v>
      </c>
      <c r="F582" s="8">
        <v>3</v>
      </c>
      <c r="G582" s="8">
        <v>20</v>
      </c>
      <c r="H582" s="8">
        <f t="shared" si="54"/>
        <v>10166</v>
      </c>
      <c r="I582" s="8">
        <v>1149.2</v>
      </c>
      <c r="J582" s="8">
        <f t="shared" si="55"/>
        <v>9016.7999999999993</v>
      </c>
      <c r="K582" s="8">
        <v>4420</v>
      </c>
      <c r="L582" s="8">
        <f t="shared" si="56"/>
        <v>4596.7999999999993</v>
      </c>
      <c r="M582" s="9">
        <v>41518</v>
      </c>
      <c r="N582" s="10">
        <f t="shared" si="57"/>
        <v>9</v>
      </c>
      <c r="O582" s="8" t="str">
        <f t="shared" si="58"/>
        <v>September</v>
      </c>
      <c r="P582" s="7">
        <f t="shared" si="59"/>
        <v>2013</v>
      </c>
    </row>
    <row r="583" spans="1:16" ht="15.75" customHeight="1" x14ac:dyDescent="0.3">
      <c r="A583" s="11" t="s">
        <v>16</v>
      </c>
      <c r="B583" s="11" t="s">
        <v>28</v>
      </c>
      <c r="C583" s="12" t="s">
        <v>24</v>
      </c>
      <c r="D583" s="12" t="s">
        <v>35</v>
      </c>
      <c r="E583" s="11">
        <v>982.5</v>
      </c>
      <c r="F583" s="12">
        <v>5</v>
      </c>
      <c r="G583" s="12">
        <v>350</v>
      </c>
      <c r="H583" s="8">
        <f t="shared" si="54"/>
        <v>348787.5</v>
      </c>
      <c r="I583" s="12">
        <v>44703.75</v>
      </c>
      <c r="J583" s="8">
        <f t="shared" si="55"/>
        <v>304083.75</v>
      </c>
      <c r="K583" s="12">
        <v>255450</v>
      </c>
      <c r="L583" s="8">
        <f t="shared" si="56"/>
        <v>48633.75</v>
      </c>
      <c r="M583" s="13">
        <v>41640</v>
      </c>
      <c r="N583" s="10">
        <f t="shared" si="57"/>
        <v>1</v>
      </c>
      <c r="O583" s="8" t="str">
        <f t="shared" si="58"/>
        <v>January</v>
      </c>
      <c r="P583" s="7">
        <f t="shared" si="59"/>
        <v>2014</v>
      </c>
    </row>
    <row r="584" spans="1:16" ht="15.75" customHeight="1" x14ac:dyDescent="0.3">
      <c r="A584" s="7" t="s">
        <v>16</v>
      </c>
      <c r="B584" s="7" t="s">
        <v>28</v>
      </c>
      <c r="C584" s="8" t="s">
        <v>24</v>
      </c>
      <c r="D584" s="8" t="s">
        <v>35</v>
      </c>
      <c r="E584" s="7">
        <v>1298</v>
      </c>
      <c r="F584" s="8">
        <v>5</v>
      </c>
      <c r="G584" s="8">
        <v>7</v>
      </c>
      <c r="H584" s="8">
        <f t="shared" si="54"/>
        <v>15576</v>
      </c>
      <c r="I584" s="8">
        <v>1181.18</v>
      </c>
      <c r="J584" s="8">
        <f t="shared" si="55"/>
        <v>14394.82</v>
      </c>
      <c r="K584" s="8">
        <v>6490</v>
      </c>
      <c r="L584" s="8">
        <f t="shared" si="56"/>
        <v>7904.82</v>
      </c>
      <c r="M584" s="9">
        <v>41671</v>
      </c>
      <c r="N584" s="10">
        <f t="shared" si="57"/>
        <v>2</v>
      </c>
      <c r="O584" s="8" t="str">
        <f t="shared" si="58"/>
        <v>February</v>
      </c>
      <c r="P584" s="7">
        <f t="shared" si="59"/>
        <v>2014</v>
      </c>
    </row>
    <row r="585" spans="1:16" ht="15.75" customHeight="1" x14ac:dyDescent="0.3">
      <c r="A585" s="11" t="s">
        <v>25</v>
      </c>
      <c r="B585" s="11" t="s">
        <v>23</v>
      </c>
      <c r="C585" s="12" t="s">
        <v>24</v>
      </c>
      <c r="D585" s="12" t="s">
        <v>35</v>
      </c>
      <c r="E585" s="11">
        <v>604</v>
      </c>
      <c r="F585" s="12">
        <v>5</v>
      </c>
      <c r="G585" s="12">
        <v>12</v>
      </c>
      <c r="H585" s="8">
        <f t="shared" si="54"/>
        <v>10268</v>
      </c>
      <c r="I585" s="12">
        <v>942.24</v>
      </c>
      <c r="J585" s="8">
        <f t="shared" si="55"/>
        <v>9325.76</v>
      </c>
      <c r="K585" s="12">
        <v>1812</v>
      </c>
      <c r="L585" s="8">
        <f t="shared" si="56"/>
        <v>7513.76</v>
      </c>
      <c r="M585" s="13">
        <v>41791</v>
      </c>
      <c r="N585" s="10">
        <f t="shared" si="57"/>
        <v>6</v>
      </c>
      <c r="O585" s="8" t="str">
        <f t="shared" si="58"/>
        <v>June</v>
      </c>
      <c r="P585" s="7">
        <f t="shared" si="59"/>
        <v>2014</v>
      </c>
    </row>
    <row r="586" spans="1:16" ht="15.75" customHeight="1" x14ac:dyDescent="0.3">
      <c r="A586" s="7" t="s">
        <v>16</v>
      </c>
      <c r="B586" s="7" t="s">
        <v>23</v>
      </c>
      <c r="C586" s="8" t="s">
        <v>24</v>
      </c>
      <c r="D586" s="8" t="s">
        <v>35</v>
      </c>
      <c r="E586" s="7">
        <v>2255</v>
      </c>
      <c r="F586" s="8">
        <v>5</v>
      </c>
      <c r="G586" s="8">
        <v>20</v>
      </c>
      <c r="H586" s="8">
        <f t="shared" si="54"/>
        <v>56375</v>
      </c>
      <c r="I586" s="8">
        <v>5863</v>
      </c>
      <c r="J586" s="8">
        <f t="shared" si="55"/>
        <v>50512</v>
      </c>
      <c r="K586" s="8">
        <v>22550</v>
      </c>
      <c r="L586" s="8">
        <f t="shared" si="56"/>
        <v>27962</v>
      </c>
      <c r="M586" s="9">
        <v>41821</v>
      </c>
      <c r="N586" s="10">
        <f t="shared" si="57"/>
        <v>7</v>
      </c>
      <c r="O586" s="8" t="str">
        <f t="shared" si="58"/>
        <v>July</v>
      </c>
      <c r="P586" s="7">
        <f t="shared" si="59"/>
        <v>2014</v>
      </c>
    </row>
    <row r="587" spans="1:16" ht="15.75" customHeight="1" x14ac:dyDescent="0.3">
      <c r="A587" s="11" t="s">
        <v>16</v>
      </c>
      <c r="B587" s="11" t="s">
        <v>17</v>
      </c>
      <c r="C587" s="12" t="s">
        <v>24</v>
      </c>
      <c r="D587" s="12" t="s">
        <v>35</v>
      </c>
      <c r="E587" s="11">
        <v>1249</v>
      </c>
      <c r="F587" s="12">
        <v>5</v>
      </c>
      <c r="G587" s="12">
        <v>20</v>
      </c>
      <c r="H587" s="8">
        <f t="shared" si="54"/>
        <v>31225</v>
      </c>
      <c r="I587" s="12">
        <v>3247.4</v>
      </c>
      <c r="J587" s="8">
        <f t="shared" si="55"/>
        <v>27977.599999999999</v>
      </c>
      <c r="K587" s="12">
        <v>12490</v>
      </c>
      <c r="L587" s="8">
        <f t="shared" si="56"/>
        <v>15487.599999999999</v>
      </c>
      <c r="M587" s="13">
        <v>41913</v>
      </c>
      <c r="N587" s="10">
        <f t="shared" si="57"/>
        <v>10</v>
      </c>
      <c r="O587" s="8" t="str">
        <f t="shared" si="58"/>
        <v>October</v>
      </c>
      <c r="P587" s="7">
        <f t="shared" si="59"/>
        <v>2014</v>
      </c>
    </row>
    <row r="588" spans="1:16" ht="15.75" customHeight="1" x14ac:dyDescent="0.3">
      <c r="A588" s="7" t="s">
        <v>16</v>
      </c>
      <c r="B588" s="7" t="s">
        <v>28</v>
      </c>
      <c r="C588" s="8" t="s">
        <v>29</v>
      </c>
      <c r="D588" s="8" t="s">
        <v>35</v>
      </c>
      <c r="E588" s="7">
        <v>1438.5</v>
      </c>
      <c r="F588" s="8">
        <v>10</v>
      </c>
      <c r="G588" s="8">
        <v>7</v>
      </c>
      <c r="H588" s="8">
        <f t="shared" si="54"/>
        <v>24454.5</v>
      </c>
      <c r="I588" s="8">
        <v>1309.0350000000001</v>
      </c>
      <c r="J588" s="8">
        <f t="shared" si="55"/>
        <v>23145.465</v>
      </c>
      <c r="K588" s="8">
        <v>7192.5</v>
      </c>
      <c r="L588" s="8">
        <f t="shared" si="56"/>
        <v>15952.965</v>
      </c>
      <c r="M588" s="9">
        <v>41640</v>
      </c>
      <c r="N588" s="10">
        <f t="shared" si="57"/>
        <v>1</v>
      </c>
      <c r="O588" s="8" t="str">
        <f t="shared" si="58"/>
        <v>January</v>
      </c>
      <c r="P588" s="7">
        <f t="shared" si="59"/>
        <v>2014</v>
      </c>
    </row>
    <row r="589" spans="1:16" ht="15.75" customHeight="1" x14ac:dyDescent="0.3">
      <c r="A589" s="11" t="s">
        <v>27</v>
      </c>
      <c r="B589" s="11" t="s">
        <v>20</v>
      </c>
      <c r="C589" s="12" t="s">
        <v>29</v>
      </c>
      <c r="D589" s="12" t="s">
        <v>35</v>
      </c>
      <c r="E589" s="11">
        <v>807</v>
      </c>
      <c r="F589" s="12">
        <v>10</v>
      </c>
      <c r="G589" s="12">
        <v>300</v>
      </c>
      <c r="H589" s="8">
        <f t="shared" si="54"/>
        <v>250170</v>
      </c>
      <c r="I589" s="12">
        <v>31473</v>
      </c>
      <c r="J589" s="8">
        <f t="shared" si="55"/>
        <v>218697</v>
      </c>
      <c r="K589" s="12">
        <v>201750</v>
      </c>
      <c r="L589" s="8">
        <f t="shared" si="56"/>
        <v>16947</v>
      </c>
      <c r="M589" s="13">
        <v>41640</v>
      </c>
      <c r="N589" s="10">
        <f t="shared" si="57"/>
        <v>1</v>
      </c>
      <c r="O589" s="8" t="str">
        <f t="shared" si="58"/>
        <v>January</v>
      </c>
      <c r="P589" s="7">
        <f t="shared" si="59"/>
        <v>2014</v>
      </c>
    </row>
    <row r="590" spans="1:16" ht="15.75" customHeight="1" x14ac:dyDescent="0.3">
      <c r="A590" s="7" t="s">
        <v>16</v>
      </c>
      <c r="B590" s="7" t="s">
        <v>28</v>
      </c>
      <c r="C590" s="8" t="s">
        <v>29</v>
      </c>
      <c r="D590" s="8" t="s">
        <v>35</v>
      </c>
      <c r="E590" s="7">
        <v>2641</v>
      </c>
      <c r="F590" s="8">
        <v>10</v>
      </c>
      <c r="G590" s="8">
        <v>20</v>
      </c>
      <c r="H590" s="8">
        <f t="shared" si="54"/>
        <v>79230</v>
      </c>
      <c r="I590" s="8">
        <v>6866.6</v>
      </c>
      <c r="J590" s="8">
        <f t="shared" si="55"/>
        <v>72363.399999999994</v>
      </c>
      <c r="K590" s="8">
        <v>26410</v>
      </c>
      <c r="L590" s="8">
        <f t="shared" si="56"/>
        <v>45953.399999999994</v>
      </c>
      <c r="M590" s="9">
        <v>41671</v>
      </c>
      <c r="N590" s="10">
        <f t="shared" si="57"/>
        <v>2</v>
      </c>
      <c r="O590" s="8" t="str">
        <f t="shared" si="58"/>
        <v>February</v>
      </c>
      <c r="P590" s="7">
        <f t="shared" si="59"/>
        <v>2014</v>
      </c>
    </row>
    <row r="591" spans="1:16" ht="15.75" customHeight="1" x14ac:dyDescent="0.3">
      <c r="A591" s="11" t="s">
        <v>16</v>
      </c>
      <c r="B591" s="11" t="s">
        <v>20</v>
      </c>
      <c r="C591" s="12" t="s">
        <v>29</v>
      </c>
      <c r="D591" s="12" t="s">
        <v>35</v>
      </c>
      <c r="E591" s="11">
        <v>2708</v>
      </c>
      <c r="F591" s="12">
        <v>10</v>
      </c>
      <c r="G591" s="12">
        <v>20</v>
      </c>
      <c r="H591" s="8">
        <f t="shared" si="54"/>
        <v>81240</v>
      </c>
      <c r="I591" s="12">
        <v>7040.8</v>
      </c>
      <c r="J591" s="8">
        <f t="shared" si="55"/>
        <v>74199.199999999997</v>
      </c>
      <c r="K591" s="12">
        <v>27080</v>
      </c>
      <c r="L591" s="8">
        <f t="shared" si="56"/>
        <v>47119.199999999997</v>
      </c>
      <c r="M591" s="13">
        <v>41671</v>
      </c>
      <c r="N591" s="10">
        <f t="shared" si="57"/>
        <v>2</v>
      </c>
      <c r="O591" s="8" t="str">
        <f t="shared" si="58"/>
        <v>February</v>
      </c>
      <c r="P591" s="7">
        <f t="shared" si="59"/>
        <v>2014</v>
      </c>
    </row>
    <row r="592" spans="1:16" ht="15.75" customHeight="1" x14ac:dyDescent="0.3">
      <c r="A592" s="7" t="s">
        <v>16</v>
      </c>
      <c r="B592" s="7" t="s">
        <v>17</v>
      </c>
      <c r="C592" s="8" t="s">
        <v>29</v>
      </c>
      <c r="D592" s="8" t="s">
        <v>35</v>
      </c>
      <c r="E592" s="7">
        <v>2632</v>
      </c>
      <c r="F592" s="8">
        <v>10</v>
      </c>
      <c r="G592" s="8">
        <v>350</v>
      </c>
      <c r="H592" s="8">
        <f t="shared" si="54"/>
        <v>947520</v>
      </c>
      <c r="I592" s="8">
        <v>119756</v>
      </c>
      <c r="J592" s="8">
        <f t="shared" si="55"/>
        <v>827764</v>
      </c>
      <c r="K592" s="8">
        <v>684320</v>
      </c>
      <c r="L592" s="8">
        <f t="shared" si="56"/>
        <v>143444</v>
      </c>
      <c r="M592" s="9">
        <v>41791</v>
      </c>
      <c r="N592" s="10">
        <f t="shared" si="57"/>
        <v>6</v>
      </c>
      <c r="O592" s="8" t="str">
        <f t="shared" si="58"/>
        <v>June</v>
      </c>
      <c r="P592" s="7">
        <f t="shared" si="59"/>
        <v>2014</v>
      </c>
    </row>
    <row r="593" spans="1:16" ht="15.75" customHeight="1" x14ac:dyDescent="0.3">
      <c r="A593" s="11" t="s">
        <v>26</v>
      </c>
      <c r="B593" s="11" t="s">
        <v>17</v>
      </c>
      <c r="C593" s="12" t="s">
        <v>29</v>
      </c>
      <c r="D593" s="12" t="s">
        <v>35</v>
      </c>
      <c r="E593" s="11">
        <v>1583</v>
      </c>
      <c r="F593" s="12">
        <v>10</v>
      </c>
      <c r="G593" s="12">
        <v>125</v>
      </c>
      <c r="H593" s="8">
        <f t="shared" si="54"/>
        <v>213705</v>
      </c>
      <c r="I593" s="12">
        <v>25723.75</v>
      </c>
      <c r="J593" s="8">
        <f t="shared" si="55"/>
        <v>187981.25</v>
      </c>
      <c r="K593" s="12">
        <v>189960</v>
      </c>
      <c r="L593" s="8">
        <f t="shared" si="56"/>
        <v>-1978.75</v>
      </c>
      <c r="M593" s="13">
        <v>41791</v>
      </c>
      <c r="N593" s="10">
        <f t="shared" si="57"/>
        <v>6</v>
      </c>
      <c r="O593" s="8" t="str">
        <f t="shared" si="58"/>
        <v>June</v>
      </c>
      <c r="P593" s="7">
        <f t="shared" si="59"/>
        <v>2014</v>
      </c>
    </row>
    <row r="594" spans="1:16" ht="15.75" customHeight="1" x14ac:dyDescent="0.3">
      <c r="A594" s="7" t="s">
        <v>25</v>
      </c>
      <c r="B594" s="7" t="s">
        <v>23</v>
      </c>
      <c r="C594" s="8" t="s">
        <v>29</v>
      </c>
      <c r="D594" s="8" t="s">
        <v>35</v>
      </c>
      <c r="E594" s="7">
        <v>571</v>
      </c>
      <c r="F594" s="8">
        <v>10</v>
      </c>
      <c r="G594" s="8">
        <v>12</v>
      </c>
      <c r="H594" s="8">
        <f t="shared" si="54"/>
        <v>12562</v>
      </c>
      <c r="I594" s="8">
        <v>890.76</v>
      </c>
      <c r="J594" s="8">
        <f t="shared" si="55"/>
        <v>11671.24</v>
      </c>
      <c r="K594" s="8">
        <v>1713</v>
      </c>
      <c r="L594" s="8">
        <f t="shared" si="56"/>
        <v>9958.24</v>
      </c>
      <c r="M594" s="9">
        <v>41821</v>
      </c>
      <c r="N594" s="10">
        <f t="shared" si="57"/>
        <v>7</v>
      </c>
      <c r="O594" s="8" t="str">
        <f t="shared" si="58"/>
        <v>July</v>
      </c>
      <c r="P594" s="7">
        <f t="shared" si="59"/>
        <v>2014</v>
      </c>
    </row>
    <row r="595" spans="1:16" ht="15.75" customHeight="1" x14ac:dyDescent="0.3">
      <c r="A595" s="11" t="s">
        <v>16</v>
      </c>
      <c r="B595" s="11" t="s">
        <v>22</v>
      </c>
      <c r="C595" s="12" t="s">
        <v>29</v>
      </c>
      <c r="D595" s="12" t="s">
        <v>35</v>
      </c>
      <c r="E595" s="11">
        <v>2696</v>
      </c>
      <c r="F595" s="12">
        <v>10</v>
      </c>
      <c r="G595" s="12">
        <v>7</v>
      </c>
      <c r="H595" s="8">
        <f t="shared" si="54"/>
        <v>45832</v>
      </c>
      <c r="I595" s="12">
        <v>2453.36</v>
      </c>
      <c r="J595" s="8">
        <f t="shared" si="55"/>
        <v>43378.64</v>
      </c>
      <c r="K595" s="12">
        <v>13480</v>
      </c>
      <c r="L595" s="8">
        <f t="shared" si="56"/>
        <v>29898.639999999999</v>
      </c>
      <c r="M595" s="13">
        <v>41852</v>
      </c>
      <c r="N595" s="10">
        <f t="shared" si="57"/>
        <v>8</v>
      </c>
      <c r="O595" s="8" t="str">
        <f t="shared" si="58"/>
        <v>August</v>
      </c>
      <c r="P595" s="7">
        <f t="shared" si="59"/>
        <v>2014</v>
      </c>
    </row>
    <row r="596" spans="1:16" ht="15.75" customHeight="1" x14ac:dyDescent="0.3">
      <c r="A596" s="7" t="s">
        <v>21</v>
      </c>
      <c r="B596" s="7" t="s">
        <v>17</v>
      </c>
      <c r="C596" s="8" t="s">
        <v>29</v>
      </c>
      <c r="D596" s="8" t="s">
        <v>35</v>
      </c>
      <c r="E596" s="7">
        <v>1565</v>
      </c>
      <c r="F596" s="8">
        <v>10</v>
      </c>
      <c r="G596" s="8">
        <v>15</v>
      </c>
      <c r="H596" s="8">
        <f t="shared" si="54"/>
        <v>39125</v>
      </c>
      <c r="I596" s="8">
        <v>3051.75</v>
      </c>
      <c r="J596" s="8">
        <f t="shared" si="55"/>
        <v>36073.25</v>
      </c>
      <c r="K596" s="8">
        <v>15650</v>
      </c>
      <c r="L596" s="8">
        <f t="shared" si="56"/>
        <v>20423.25</v>
      </c>
      <c r="M596" s="9">
        <v>41913</v>
      </c>
      <c r="N596" s="10">
        <f t="shared" si="57"/>
        <v>10</v>
      </c>
      <c r="O596" s="8" t="str">
        <f t="shared" si="58"/>
        <v>October</v>
      </c>
      <c r="P596" s="7">
        <f t="shared" si="59"/>
        <v>2014</v>
      </c>
    </row>
    <row r="597" spans="1:16" ht="15.75" customHeight="1" x14ac:dyDescent="0.3">
      <c r="A597" s="11" t="s">
        <v>16</v>
      </c>
      <c r="B597" s="11" t="s">
        <v>17</v>
      </c>
      <c r="C597" s="12" t="s">
        <v>29</v>
      </c>
      <c r="D597" s="12" t="s">
        <v>35</v>
      </c>
      <c r="E597" s="11">
        <v>1249</v>
      </c>
      <c r="F597" s="12">
        <v>10</v>
      </c>
      <c r="G597" s="12">
        <v>20</v>
      </c>
      <c r="H597" s="8">
        <f t="shared" si="54"/>
        <v>37470</v>
      </c>
      <c r="I597" s="12">
        <v>3247.4</v>
      </c>
      <c r="J597" s="8">
        <f t="shared" si="55"/>
        <v>34222.6</v>
      </c>
      <c r="K597" s="12">
        <v>12490</v>
      </c>
      <c r="L597" s="8">
        <f t="shared" si="56"/>
        <v>21732.6</v>
      </c>
      <c r="M597" s="13">
        <v>41913</v>
      </c>
      <c r="N597" s="10">
        <f t="shared" si="57"/>
        <v>10</v>
      </c>
      <c r="O597" s="8" t="str">
        <f t="shared" si="58"/>
        <v>October</v>
      </c>
      <c r="P597" s="7">
        <f t="shared" si="59"/>
        <v>2014</v>
      </c>
    </row>
    <row r="598" spans="1:16" ht="15.75" customHeight="1" x14ac:dyDescent="0.3">
      <c r="A598" s="7" t="s">
        <v>16</v>
      </c>
      <c r="B598" s="7" t="s">
        <v>20</v>
      </c>
      <c r="C598" s="8" t="s">
        <v>29</v>
      </c>
      <c r="D598" s="8" t="s">
        <v>35</v>
      </c>
      <c r="E598" s="7">
        <v>357</v>
      </c>
      <c r="F598" s="8">
        <v>10</v>
      </c>
      <c r="G598" s="8">
        <v>350</v>
      </c>
      <c r="H598" s="8">
        <f t="shared" si="54"/>
        <v>128520</v>
      </c>
      <c r="I598" s="8">
        <v>16243.5</v>
      </c>
      <c r="J598" s="8">
        <f t="shared" si="55"/>
        <v>112276.5</v>
      </c>
      <c r="K598" s="8">
        <v>92820</v>
      </c>
      <c r="L598" s="8">
        <f t="shared" si="56"/>
        <v>19456.5</v>
      </c>
      <c r="M598" s="9">
        <v>41944</v>
      </c>
      <c r="N598" s="10">
        <f t="shared" si="57"/>
        <v>11</v>
      </c>
      <c r="O598" s="8" t="str">
        <f t="shared" si="58"/>
        <v>November</v>
      </c>
      <c r="P598" s="7">
        <f t="shared" si="59"/>
        <v>2014</v>
      </c>
    </row>
    <row r="599" spans="1:16" ht="15.75" customHeight="1" x14ac:dyDescent="0.3">
      <c r="A599" s="11" t="s">
        <v>25</v>
      </c>
      <c r="B599" s="11" t="s">
        <v>20</v>
      </c>
      <c r="C599" s="12" t="s">
        <v>29</v>
      </c>
      <c r="D599" s="12" t="s">
        <v>35</v>
      </c>
      <c r="E599" s="11">
        <v>1013</v>
      </c>
      <c r="F599" s="12">
        <v>10</v>
      </c>
      <c r="G599" s="12">
        <v>12</v>
      </c>
      <c r="H599" s="8">
        <f t="shared" si="54"/>
        <v>22286</v>
      </c>
      <c r="I599" s="12">
        <v>1580.28</v>
      </c>
      <c r="J599" s="8">
        <f t="shared" si="55"/>
        <v>20705.72</v>
      </c>
      <c r="K599" s="12">
        <v>3039</v>
      </c>
      <c r="L599" s="8">
        <f t="shared" si="56"/>
        <v>17666.72</v>
      </c>
      <c r="M599" s="13">
        <v>41974</v>
      </c>
      <c r="N599" s="10">
        <f t="shared" si="57"/>
        <v>12</v>
      </c>
      <c r="O599" s="8" t="str">
        <f t="shared" si="58"/>
        <v>December</v>
      </c>
      <c r="P599" s="7">
        <f t="shared" si="59"/>
        <v>2014</v>
      </c>
    </row>
    <row r="600" spans="1:16" ht="15.75" customHeight="1" x14ac:dyDescent="0.3">
      <c r="A600" s="7" t="s">
        <v>21</v>
      </c>
      <c r="B600" s="7" t="s">
        <v>22</v>
      </c>
      <c r="C600" s="8" t="s">
        <v>30</v>
      </c>
      <c r="D600" s="8" t="s">
        <v>35</v>
      </c>
      <c r="E600" s="7">
        <v>3997.5</v>
      </c>
      <c r="F600" s="8">
        <v>120</v>
      </c>
      <c r="G600" s="8">
        <v>15</v>
      </c>
      <c r="H600" s="8">
        <f t="shared" si="54"/>
        <v>539662.5</v>
      </c>
      <c r="I600" s="8">
        <v>7795.125</v>
      </c>
      <c r="J600" s="8">
        <f t="shared" si="55"/>
        <v>531867.375</v>
      </c>
      <c r="K600" s="8">
        <v>39975</v>
      </c>
      <c r="L600" s="8">
        <f t="shared" si="56"/>
        <v>491892.375</v>
      </c>
      <c r="M600" s="9">
        <v>41640</v>
      </c>
      <c r="N600" s="10">
        <f t="shared" si="57"/>
        <v>1</v>
      </c>
      <c r="O600" s="8" t="str">
        <f t="shared" si="58"/>
        <v>January</v>
      </c>
      <c r="P600" s="7">
        <f t="shared" si="59"/>
        <v>2014</v>
      </c>
    </row>
    <row r="601" spans="1:16" ht="15.75" customHeight="1" x14ac:dyDescent="0.3">
      <c r="A601" s="11" t="s">
        <v>16</v>
      </c>
      <c r="B601" s="11" t="s">
        <v>17</v>
      </c>
      <c r="C601" s="12" t="s">
        <v>30</v>
      </c>
      <c r="D601" s="12" t="s">
        <v>35</v>
      </c>
      <c r="E601" s="11">
        <v>2632</v>
      </c>
      <c r="F601" s="12">
        <v>120</v>
      </c>
      <c r="G601" s="12">
        <v>350</v>
      </c>
      <c r="H601" s="8">
        <f t="shared" si="54"/>
        <v>1237040</v>
      </c>
      <c r="I601" s="12">
        <v>119756</v>
      </c>
      <c r="J601" s="8">
        <f t="shared" si="55"/>
        <v>1117284</v>
      </c>
      <c r="K601" s="12">
        <v>684320</v>
      </c>
      <c r="L601" s="8">
        <f t="shared" si="56"/>
        <v>432964</v>
      </c>
      <c r="M601" s="13">
        <v>41791</v>
      </c>
      <c r="N601" s="10">
        <f t="shared" si="57"/>
        <v>6</v>
      </c>
      <c r="O601" s="8" t="str">
        <f t="shared" si="58"/>
        <v>June</v>
      </c>
      <c r="P601" s="7">
        <f t="shared" si="59"/>
        <v>2014</v>
      </c>
    </row>
    <row r="602" spans="1:16" ht="15.75" customHeight="1" x14ac:dyDescent="0.3">
      <c r="A602" s="7" t="s">
        <v>16</v>
      </c>
      <c r="B602" s="7" t="s">
        <v>22</v>
      </c>
      <c r="C602" s="8" t="s">
        <v>30</v>
      </c>
      <c r="D602" s="8" t="s">
        <v>35</v>
      </c>
      <c r="E602" s="7">
        <v>1190</v>
      </c>
      <c r="F602" s="8">
        <v>120</v>
      </c>
      <c r="G602" s="8">
        <v>7</v>
      </c>
      <c r="H602" s="8">
        <f t="shared" si="54"/>
        <v>151130</v>
      </c>
      <c r="I602" s="8">
        <v>1082.9000000000001</v>
      </c>
      <c r="J602" s="8">
        <f t="shared" si="55"/>
        <v>150047.1</v>
      </c>
      <c r="K602" s="8">
        <v>5950</v>
      </c>
      <c r="L602" s="8">
        <f t="shared" si="56"/>
        <v>144097.1</v>
      </c>
      <c r="M602" s="9">
        <v>41791</v>
      </c>
      <c r="N602" s="10">
        <f t="shared" si="57"/>
        <v>6</v>
      </c>
      <c r="O602" s="8" t="str">
        <f t="shared" si="58"/>
        <v>June</v>
      </c>
      <c r="P602" s="7">
        <f t="shared" si="59"/>
        <v>2014</v>
      </c>
    </row>
    <row r="603" spans="1:16" ht="15.75" customHeight="1" x14ac:dyDescent="0.3">
      <c r="A603" s="11" t="s">
        <v>25</v>
      </c>
      <c r="B603" s="11" t="s">
        <v>23</v>
      </c>
      <c r="C603" s="12" t="s">
        <v>30</v>
      </c>
      <c r="D603" s="12" t="s">
        <v>35</v>
      </c>
      <c r="E603" s="11">
        <v>604</v>
      </c>
      <c r="F603" s="12">
        <v>120</v>
      </c>
      <c r="G603" s="12">
        <v>12</v>
      </c>
      <c r="H603" s="8">
        <f t="shared" si="54"/>
        <v>79728</v>
      </c>
      <c r="I603" s="12">
        <v>942.24</v>
      </c>
      <c r="J603" s="8">
        <f t="shared" si="55"/>
        <v>78785.759999999995</v>
      </c>
      <c r="K603" s="12">
        <v>1812</v>
      </c>
      <c r="L603" s="8">
        <f t="shared" si="56"/>
        <v>76973.759999999995</v>
      </c>
      <c r="M603" s="13">
        <v>41791</v>
      </c>
      <c r="N603" s="10">
        <f t="shared" si="57"/>
        <v>6</v>
      </c>
      <c r="O603" s="8" t="str">
        <f t="shared" si="58"/>
        <v>June</v>
      </c>
      <c r="P603" s="7">
        <f t="shared" si="59"/>
        <v>2014</v>
      </c>
    </row>
    <row r="604" spans="1:16" ht="15.75" customHeight="1" x14ac:dyDescent="0.3">
      <c r="A604" s="7" t="s">
        <v>21</v>
      </c>
      <c r="B604" s="7" t="s">
        <v>20</v>
      </c>
      <c r="C604" s="8" t="s">
        <v>30</v>
      </c>
      <c r="D604" s="8" t="s">
        <v>35</v>
      </c>
      <c r="E604" s="7">
        <v>660</v>
      </c>
      <c r="F604" s="8">
        <v>120</v>
      </c>
      <c r="G604" s="8">
        <v>15</v>
      </c>
      <c r="H604" s="8">
        <f t="shared" si="54"/>
        <v>89100</v>
      </c>
      <c r="I604" s="8">
        <v>1287</v>
      </c>
      <c r="J604" s="8">
        <f t="shared" si="55"/>
        <v>87813</v>
      </c>
      <c r="K604" s="8">
        <v>6600</v>
      </c>
      <c r="L604" s="8">
        <f t="shared" si="56"/>
        <v>81213</v>
      </c>
      <c r="M604" s="9">
        <v>41518</v>
      </c>
      <c r="N604" s="10">
        <f t="shared" si="57"/>
        <v>9</v>
      </c>
      <c r="O604" s="8" t="str">
        <f t="shared" si="58"/>
        <v>September</v>
      </c>
      <c r="P604" s="7">
        <f t="shared" si="59"/>
        <v>2013</v>
      </c>
    </row>
    <row r="605" spans="1:16" ht="15.75" customHeight="1" x14ac:dyDescent="0.3">
      <c r="A605" s="11" t="s">
        <v>25</v>
      </c>
      <c r="B605" s="11" t="s">
        <v>23</v>
      </c>
      <c r="C605" s="12" t="s">
        <v>30</v>
      </c>
      <c r="D605" s="12" t="s">
        <v>35</v>
      </c>
      <c r="E605" s="11">
        <v>410</v>
      </c>
      <c r="F605" s="12">
        <v>120</v>
      </c>
      <c r="G605" s="12">
        <v>12</v>
      </c>
      <c r="H605" s="8">
        <f t="shared" si="54"/>
        <v>54120</v>
      </c>
      <c r="I605" s="12">
        <v>639.6</v>
      </c>
      <c r="J605" s="8">
        <f t="shared" si="55"/>
        <v>53480.4</v>
      </c>
      <c r="K605" s="12">
        <v>1230</v>
      </c>
      <c r="L605" s="8">
        <f t="shared" si="56"/>
        <v>52250.400000000001</v>
      </c>
      <c r="M605" s="13">
        <v>41913</v>
      </c>
      <c r="N605" s="10">
        <f t="shared" si="57"/>
        <v>10</v>
      </c>
      <c r="O605" s="8" t="str">
        <f t="shared" si="58"/>
        <v>October</v>
      </c>
      <c r="P605" s="7">
        <f t="shared" si="59"/>
        <v>2014</v>
      </c>
    </row>
    <row r="606" spans="1:16" ht="15.75" customHeight="1" x14ac:dyDescent="0.3">
      <c r="A606" s="7" t="s">
        <v>27</v>
      </c>
      <c r="B606" s="7" t="s">
        <v>23</v>
      </c>
      <c r="C606" s="8" t="s">
        <v>30</v>
      </c>
      <c r="D606" s="8" t="s">
        <v>35</v>
      </c>
      <c r="E606" s="7">
        <v>2605</v>
      </c>
      <c r="F606" s="8">
        <v>120</v>
      </c>
      <c r="G606" s="8">
        <v>300</v>
      </c>
      <c r="H606" s="8">
        <f t="shared" si="54"/>
        <v>1094100</v>
      </c>
      <c r="I606" s="8">
        <v>101595</v>
      </c>
      <c r="J606" s="8">
        <f t="shared" si="55"/>
        <v>992505</v>
      </c>
      <c r="K606" s="8">
        <v>651250</v>
      </c>
      <c r="L606" s="8">
        <f t="shared" si="56"/>
        <v>341255</v>
      </c>
      <c r="M606" s="9">
        <v>41579</v>
      </c>
      <c r="N606" s="10">
        <f t="shared" si="57"/>
        <v>11</v>
      </c>
      <c r="O606" s="8" t="str">
        <f t="shared" si="58"/>
        <v>November</v>
      </c>
      <c r="P606" s="7">
        <f t="shared" si="59"/>
        <v>2013</v>
      </c>
    </row>
    <row r="607" spans="1:16" ht="15.75" customHeight="1" x14ac:dyDescent="0.3">
      <c r="A607" s="11" t="s">
        <v>25</v>
      </c>
      <c r="B607" s="11" t="s">
        <v>20</v>
      </c>
      <c r="C607" s="12" t="s">
        <v>30</v>
      </c>
      <c r="D607" s="12" t="s">
        <v>35</v>
      </c>
      <c r="E607" s="11">
        <v>1013</v>
      </c>
      <c r="F607" s="12">
        <v>120</v>
      </c>
      <c r="G607" s="12">
        <v>12</v>
      </c>
      <c r="H607" s="8">
        <f t="shared" si="54"/>
        <v>133716</v>
      </c>
      <c r="I607" s="12">
        <v>1580.28</v>
      </c>
      <c r="J607" s="8">
        <f t="shared" si="55"/>
        <v>132135.72</v>
      </c>
      <c r="K607" s="12">
        <v>3039</v>
      </c>
      <c r="L607" s="8">
        <f t="shared" si="56"/>
        <v>129096.72</v>
      </c>
      <c r="M607" s="13">
        <v>41974</v>
      </c>
      <c r="N607" s="10">
        <f t="shared" si="57"/>
        <v>12</v>
      </c>
      <c r="O607" s="8" t="str">
        <f t="shared" si="58"/>
        <v>December</v>
      </c>
      <c r="P607" s="7">
        <f t="shared" si="59"/>
        <v>2014</v>
      </c>
    </row>
    <row r="608" spans="1:16" ht="15.75" customHeight="1" x14ac:dyDescent="0.3">
      <c r="A608" s="7" t="s">
        <v>26</v>
      </c>
      <c r="B608" s="7" t="s">
        <v>17</v>
      </c>
      <c r="C608" s="8" t="s">
        <v>31</v>
      </c>
      <c r="D608" s="8" t="s">
        <v>35</v>
      </c>
      <c r="E608" s="7">
        <v>1583</v>
      </c>
      <c r="F608" s="8">
        <v>250</v>
      </c>
      <c r="G608" s="8">
        <v>125</v>
      </c>
      <c r="H608" s="8">
        <f t="shared" si="54"/>
        <v>593625</v>
      </c>
      <c r="I608" s="8">
        <v>25723.75</v>
      </c>
      <c r="J608" s="8">
        <f t="shared" si="55"/>
        <v>567901.25</v>
      </c>
      <c r="K608" s="8">
        <v>189960</v>
      </c>
      <c r="L608" s="8">
        <f t="shared" si="56"/>
        <v>377941.25</v>
      </c>
      <c r="M608" s="9">
        <v>41791</v>
      </c>
      <c r="N608" s="10">
        <f t="shared" si="57"/>
        <v>6</v>
      </c>
      <c r="O608" s="8" t="str">
        <f t="shared" si="58"/>
        <v>June</v>
      </c>
      <c r="P608" s="7">
        <f t="shared" si="59"/>
        <v>2014</v>
      </c>
    </row>
    <row r="609" spans="1:16" ht="15.75" customHeight="1" x14ac:dyDescent="0.3">
      <c r="A609" s="11" t="s">
        <v>21</v>
      </c>
      <c r="B609" s="11" t="s">
        <v>17</v>
      </c>
      <c r="C609" s="12" t="s">
        <v>31</v>
      </c>
      <c r="D609" s="12" t="s">
        <v>35</v>
      </c>
      <c r="E609" s="11">
        <v>1565</v>
      </c>
      <c r="F609" s="12">
        <v>250</v>
      </c>
      <c r="G609" s="12">
        <v>15</v>
      </c>
      <c r="H609" s="8">
        <f t="shared" si="54"/>
        <v>414725</v>
      </c>
      <c r="I609" s="12">
        <v>3051.75</v>
      </c>
      <c r="J609" s="8">
        <f t="shared" si="55"/>
        <v>411673.25</v>
      </c>
      <c r="K609" s="12">
        <v>15650</v>
      </c>
      <c r="L609" s="8">
        <f t="shared" si="56"/>
        <v>396023.25</v>
      </c>
      <c r="M609" s="13">
        <v>41913</v>
      </c>
      <c r="N609" s="10">
        <f t="shared" si="57"/>
        <v>10</v>
      </c>
      <c r="O609" s="8" t="str">
        <f t="shared" si="58"/>
        <v>October</v>
      </c>
      <c r="P609" s="7">
        <f t="shared" si="59"/>
        <v>2014</v>
      </c>
    </row>
    <row r="610" spans="1:16" ht="15.75" customHeight="1" x14ac:dyDescent="0.3">
      <c r="A610" s="7" t="s">
        <v>26</v>
      </c>
      <c r="B610" s="7" t="s">
        <v>17</v>
      </c>
      <c r="C610" s="8" t="s">
        <v>32</v>
      </c>
      <c r="D610" s="8" t="s">
        <v>35</v>
      </c>
      <c r="E610" s="7">
        <v>1659</v>
      </c>
      <c r="F610" s="8">
        <v>260</v>
      </c>
      <c r="G610" s="8">
        <v>125</v>
      </c>
      <c r="H610" s="8">
        <f t="shared" si="54"/>
        <v>638715</v>
      </c>
      <c r="I610" s="8">
        <v>26958.75</v>
      </c>
      <c r="J610" s="8">
        <f t="shared" si="55"/>
        <v>611756.25</v>
      </c>
      <c r="K610" s="8">
        <v>199080</v>
      </c>
      <c r="L610" s="8">
        <f t="shared" si="56"/>
        <v>412676.25</v>
      </c>
      <c r="M610" s="9">
        <v>41640</v>
      </c>
      <c r="N610" s="10">
        <f t="shared" si="57"/>
        <v>1</v>
      </c>
      <c r="O610" s="8" t="str">
        <f t="shared" si="58"/>
        <v>January</v>
      </c>
      <c r="P610" s="7">
        <f t="shared" si="59"/>
        <v>2014</v>
      </c>
    </row>
    <row r="611" spans="1:16" ht="15.75" customHeight="1" x14ac:dyDescent="0.3">
      <c r="A611" s="11" t="s">
        <v>16</v>
      </c>
      <c r="B611" s="11" t="s">
        <v>22</v>
      </c>
      <c r="C611" s="12" t="s">
        <v>32</v>
      </c>
      <c r="D611" s="12" t="s">
        <v>35</v>
      </c>
      <c r="E611" s="11">
        <v>1190</v>
      </c>
      <c r="F611" s="12">
        <v>260</v>
      </c>
      <c r="G611" s="12">
        <v>7</v>
      </c>
      <c r="H611" s="8">
        <f t="shared" si="54"/>
        <v>317730</v>
      </c>
      <c r="I611" s="12">
        <v>1082.9000000000001</v>
      </c>
      <c r="J611" s="8">
        <f t="shared" si="55"/>
        <v>316647.09999999998</v>
      </c>
      <c r="K611" s="12">
        <v>5950</v>
      </c>
      <c r="L611" s="8">
        <f t="shared" si="56"/>
        <v>310697.09999999998</v>
      </c>
      <c r="M611" s="13">
        <v>41791</v>
      </c>
      <c r="N611" s="10">
        <f t="shared" si="57"/>
        <v>6</v>
      </c>
      <c r="O611" s="8" t="str">
        <f t="shared" si="58"/>
        <v>June</v>
      </c>
      <c r="P611" s="7">
        <f t="shared" si="59"/>
        <v>2014</v>
      </c>
    </row>
    <row r="612" spans="1:16" ht="15.75" customHeight="1" x14ac:dyDescent="0.3">
      <c r="A612" s="7" t="s">
        <v>25</v>
      </c>
      <c r="B612" s="7" t="s">
        <v>23</v>
      </c>
      <c r="C612" s="8" t="s">
        <v>32</v>
      </c>
      <c r="D612" s="8" t="s">
        <v>35</v>
      </c>
      <c r="E612" s="7">
        <v>410</v>
      </c>
      <c r="F612" s="8">
        <v>260</v>
      </c>
      <c r="G612" s="8">
        <v>12</v>
      </c>
      <c r="H612" s="8">
        <f t="shared" si="54"/>
        <v>111520</v>
      </c>
      <c r="I612" s="8">
        <v>639.6</v>
      </c>
      <c r="J612" s="8">
        <f t="shared" si="55"/>
        <v>110880.4</v>
      </c>
      <c r="K612" s="8">
        <v>1230</v>
      </c>
      <c r="L612" s="8">
        <f t="shared" si="56"/>
        <v>109650.4</v>
      </c>
      <c r="M612" s="9">
        <v>41913</v>
      </c>
      <c r="N612" s="10">
        <f t="shared" si="57"/>
        <v>10</v>
      </c>
      <c r="O612" s="8" t="str">
        <f t="shared" si="58"/>
        <v>October</v>
      </c>
      <c r="P612" s="7">
        <f t="shared" si="59"/>
        <v>2014</v>
      </c>
    </row>
    <row r="613" spans="1:16" ht="15.75" customHeight="1" x14ac:dyDescent="0.3">
      <c r="A613" s="11" t="s">
        <v>25</v>
      </c>
      <c r="B613" s="11" t="s">
        <v>20</v>
      </c>
      <c r="C613" s="12" t="s">
        <v>32</v>
      </c>
      <c r="D613" s="12" t="s">
        <v>35</v>
      </c>
      <c r="E613" s="11">
        <v>1770</v>
      </c>
      <c r="F613" s="12">
        <v>260</v>
      </c>
      <c r="G613" s="12">
        <v>12</v>
      </c>
      <c r="H613" s="8">
        <f t="shared" si="54"/>
        <v>481440</v>
      </c>
      <c r="I613" s="12">
        <v>2761.2</v>
      </c>
      <c r="J613" s="8">
        <f t="shared" si="55"/>
        <v>478678.8</v>
      </c>
      <c r="K613" s="12">
        <v>5310</v>
      </c>
      <c r="L613" s="8">
        <f t="shared" si="56"/>
        <v>473368.8</v>
      </c>
      <c r="M613" s="13">
        <v>41609</v>
      </c>
      <c r="N613" s="10">
        <f t="shared" si="57"/>
        <v>12</v>
      </c>
      <c r="O613" s="8" t="str">
        <f t="shared" si="58"/>
        <v>December</v>
      </c>
      <c r="P613" s="7">
        <f t="shared" si="59"/>
        <v>2013</v>
      </c>
    </row>
    <row r="614" spans="1:16" ht="15.75" customHeight="1" x14ac:dyDescent="0.3">
      <c r="A614" s="7" t="s">
        <v>16</v>
      </c>
      <c r="B614" s="7" t="s">
        <v>23</v>
      </c>
      <c r="C614" s="8" t="s">
        <v>18</v>
      </c>
      <c r="D614" s="8" t="s">
        <v>35</v>
      </c>
      <c r="E614" s="7">
        <v>2579</v>
      </c>
      <c r="F614" s="8">
        <v>3</v>
      </c>
      <c r="G614" s="8">
        <v>20</v>
      </c>
      <c r="H614" s="8">
        <f t="shared" si="54"/>
        <v>59317</v>
      </c>
      <c r="I614" s="8">
        <v>7221.2</v>
      </c>
      <c r="J614" s="8">
        <f t="shared" si="55"/>
        <v>52095.8</v>
      </c>
      <c r="K614" s="8">
        <v>25790</v>
      </c>
      <c r="L614" s="8">
        <f t="shared" si="56"/>
        <v>26305.800000000003</v>
      </c>
      <c r="M614" s="9">
        <v>41730</v>
      </c>
      <c r="N614" s="10">
        <f t="shared" si="57"/>
        <v>4</v>
      </c>
      <c r="O614" s="8" t="str">
        <f t="shared" si="58"/>
        <v>April</v>
      </c>
      <c r="P614" s="7">
        <f t="shared" si="59"/>
        <v>2014</v>
      </c>
    </row>
    <row r="615" spans="1:16" ht="15.75" customHeight="1" x14ac:dyDescent="0.3">
      <c r="A615" s="11" t="s">
        <v>16</v>
      </c>
      <c r="B615" s="11" t="s">
        <v>28</v>
      </c>
      <c r="C615" s="12" t="s">
        <v>18</v>
      </c>
      <c r="D615" s="12" t="s">
        <v>35</v>
      </c>
      <c r="E615" s="11">
        <v>1743</v>
      </c>
      <c r="F615" s="12">
        <v>3</v>
      </c>
      <c r="G615" s="12">
        <v>20</v>
      </c>
      <c r="H615" s="8">
        <f t="shared" si="54"/>
        <v>40089</v>
      </c>
      <c r="I615" s="12">
        <v>4880.3999999999996</v>
      </c>
      <c r="J615" s="8">
        <f t="shared" si="55"/>
        <v>35208.6</v>
      </c>
      <c r="K615" s="12">
        <v>17430</v>
      </c>
      <c r="L615" s="8">
        <f t="shared" si="56"/>
        <v>17778.599999999999</v>
      </c>
      <c r="M615" s="13">
        <v>41760</v>
      </c>
      <c r="N615" s="10">
        <f t="shared" si="57"/>
        <v>5</v>
      </c>
      <c r="O615" s="8" t="str">
        <f t="shared" si="58"/>
        <v>May</v>
      </c>
      <c r="P615" s="7">
        <f t="shared" si="59"/>
        <v>2014</v>
      </c>
    </row>
    <row r="616" spans="1:16" ht="15.75" customHeight="1" x14ac:dyDescent="0.3">
      <c r="A616" s="7" t="s">
        <v>16</v>
      </c>
      <c r="B616" s="7" t="s">
        <v>28</v>
      </c>
      <c r="C616" s="8" t="s">
        <v>18</v>
      </c>
      <c r="D616" s="8" t="s">
        <v>35</v>
      </c>
      <c r="E616" s="7">
        <v>2996</v>
      </c>
      <c r="F616" s="8">
        <v>3</v>
      </c>
      <c r="G616" s="8">
        <v>7</v>
      </c>
      <c r="H616" s="8">
        <f t="shared" si="54"/>
        <v>29960</v>
      </c>
      <c r="I616" s="8">
        <v>2936.08</v>
      </c>
      <c r="J616" s="8">
        <f t="shared" si="55"/>
        <v>27023.919999999998</v>
      </c>
      <c r="K616" s="8">
        <v>14980</v>
      </c>
      <c r="L616" s="8">
        <f t="shared" si="56"/>
        <v>12043.919999999998</v>
      </c>
      <c r="M616" s="9">
        <v>41548</v>
      </c>
      <c r="N616" s="10">
        <f t="shared" si="57"/>
        <v>10</v>
      </c>
      <c r="O616" s="8" t="str">
        <f t="shared" si="58"/>
        <v>October</v>
      </c>
      <c r="P616" s="7">
        <f t="shared" si="59"/>
        <v>2013</v>
      </c>
    </row>
    <row r="617" spans="1:16" ht="15.75" customHeight="1" x14ac:dyDescent="0.3">
      <c r="A617" s="11" t="s">
        <v>16</v>
      </c>
      <c r="B617" s="11" t="s">
        <v>20</v>
      </c>
      <c r="C617" s="12" t="s">
        <v>18</v>
      </c>
      <c r="D617" s="12" t="s">
        <v>35</v>
      </c>
      <c r="E617" s="11">
        <v>280</v>
      </c>
      <c r="F617" s="12">
        <v>3</v>
      </c>
      <c r="G617" s="12">
        <v>7</v>
      </c>
      <c r="H617" s="8">
        <f t="shared" si="54"/>
        <v>2800</v>
      </c>
      <c r="I617" s="12">
        <v>274.39999999999998</v>
      </c>
      <c r="J617" s="8">
        <f t="shared" si="55"/>
        <v>2525.6</v>
      </c>
      <c r="K617" s="12">
        <v>1400</v>
      </c>
      <c r="L617" s="8">
        <f t="shared" si="56"/>
        <v>1125.5999999999999</v>
      </c>
      <c r="M617" s="13">
        <v>41974</v>
      </c>
      <c r="N617" s="10">
        <f t="shared" si="57"/>
        <v>12</v>
      </c>
      <c r="O617" s="8" t="str">
        <f t="shared" si="58"/>
        <v>December</v>
      </c>
      <c r="P617" s="7">
        <f t="shared" si="59"/>
        <v>2014</v>
      </c>
    </row>
    <row r="618" spans="1:16" ht="15.75" customHeight="1" x14ac:dyDescent="0.3">
      <c r="A618" s="7" t="s">
        <v>16</v>
      </c>
      <c r="B618" s="7" t="s">
        <v>22</v>
      </c>
      <c r="C618" s="8" t="s">
        <v>24</v>
      </c>
      <c r="D618" s="8" t="s">
        <v>35</v>
      </c>
      <c r="E618" s="7">
        <v>293</v>
      </c>
      <c r="F618" s="8">
        <v>5</v>
      </c>
      <c r="G618" s="8">
        <v>7</v>
      </c>
      <c r="H618" s="8">
        <f t="shared" si="54"/>
        <v>3516</v>
      </c>
      <c r="I618" s="8">
        <v>287.14</v>
      </c>
      <c r="J618" s="8">
        <f t="shared" si="55"/>
        <v>3228.86</v>
      </c>
      <c r="K618" s="8">
        <v>1465</v>
      </c>
      <c r="L618" s="8">
        <f t="shared" si="56"/>
        <v>1763.8600000000001</v>
      </c>
      <c r="M618" s="9">
        <v>41671</v>
      </c>
      <c r="N618" s="10">
        <f t="shared" si="57"/>
        <v>2</v>
      </c>
      <c r="O618" s="8" t="str">
        <f t="shared" si="58"/>
        <v>February</v>
      </c>
      <c r="P618" s="7">
        <f t="shared" si="59"/>
        <v>2014</v>
      </c>
    </row>
    <row r="619" spans="1:16" ht="15.75" customHeight="1" x14ac:dyDescent="0.3">
      <c r="A619" s="11" t="s">
        <v>16</v>
      </c>
      <c r="B619" s="11" t="s">
        <v>28</v>
      </c>
      <c r="C619" s="12" t="s">
        <v>24</v>
      </c>
      <c r="D619" s="12" t="s">
        <v>35</v>
      </c>
      <c r="E619" s="11">
        <v>2996</v>
      </c>
      <c r="F619" s="12">
        <v>5</v>
      </c>
      <c r="G619" s="12">
        <v>7</v>
      </c>
      <c r="H619" s="8">
        <f t="shared" si="54"/>
        <v>35952</v>
      </c>
      <c r="I619" s="12">
        <v>2936.08</v>
      </c>
      <c r="J619" s="8">
        <f t="shared" si="55"/>
        <v>33015.919999999998</v>
      </c>
      <c r="K619" s="12">
        <v>14980</v>
      </c>
      <c r="L619" s="8">
        <f t="shared" si="56"/>
        <v>18035.919999999998</v>
      </c>
      <c r="M619" s="13">
        <v>41548</v>
      </c>
      <c r="N619" s="10">
        <f t="shared" si="57"/>
        <v>10</v>
      </c>
      <c r="O619" s="8" t="str">
        <f t="shared" si="58"/>
        <v>October</v>
      </c>
      <c r="P619" s="7">
        <f t="shared" si="59"/>
        <v>2013</v>
      </c>
    </row>
    <row r="620" spans="1:16" ht="15.75" customHeight="1" x14ac:dyDescent="0.3">
      <c r="A620" s="7" t="s">
        <v>21</v>
      </c>
      <c r="B620" s="7" t="s">
        <v>20</v>
      </c>
      <c r="C620" s="8" t="s">
        <v>29</v>
      </c>
      <c r="D620" s="8" t="s">
        <v>35</v>
      </c>
      <c r="E620" s="7">
        <v>278</v>
      </c>
      <c r="F620" s="8">
        <v>10</v>
      </c>
      <c r="G620" s="8">
        <v>15</v>
      </c>
      <c r="H620" s="8">
        <f t="shared" si="54"/>
        <v>6950</v>
      </c>
      <c r="I620" s="8">
        <v>583.79999999999995</v>
      </c>
      <c r="J620" s="8">
        <f t="shared" si="55"/>
        <v>6366.2</v>
      </c>
      <c r="K620" s="8">
        <v>2780</v>
      </c>
      <c r="L620" s="8">
        <f t="shared" si="56"/>
        <v>3586.2</v>
      </c>
      <c r="M620" s="9">
        <v>41671</v>
      </c>
      <c r="N620" s="10">
        <f t="shared" si="57"/>
        <v>2</v>
      </c>
      <c r="O620" s="8" t="str">
        <f t="shared" si="58"/>
        <v>February</v>
      </c>
      <c r="P620" s="7">
        <f t="shared" si="59"/>
        <v>2014</v>
      </c>
    </row>
    <row r="621" spans="1:16" ht="15.75" customHeight="1" x14ac:dyDescent="0.3">
      <c r="A621" s="11" t="s">
        <v>16</v>
      </c>
      <c r="B621" s="11" t="s">
        <v>17</v>
      </c>
      <c r="C621" s="12" t="s">
        <v>29</v>
      </c>
      <c r="D621" s="12" t="s">
        <v>35</v>
      </c>
      <c r="E621" s="11">
        <v>2428</v>
      </c>
      <c r="F621" s="12">
        <v>10</v>
      </c>
      <c r="G621" s="12">
        <v>20</v>
      </c>
      <c r="H621" s="8">
        <f t="shared" si="54"/>
        <v>72840</v>
      </c>
      <c r="I621" s="12">
        <v>6798.4</v>
      </c>
      <c r="J621" s="8">
        <f t="shared" si="55"/>
        <v>66041.600000000006</v>
      </c>
      <c r="K621" s="12">
        <v>24280</v>
      </c>
      <c r="L621" s="8">
        <f t="shared" si="56"/>
        <v>41761.600000000006</v>
      </c>
      <c r="M621" s="13">
        <v>41699</v>
      </c>
      <c r="N621" s="10">
        <f t="shared" si="57"/>
        <v>3</v>
      </c>
      <c r="O621" s="8" t="str">
        <f t="shared" si="58"/>
        <v>March</v>
      </c>
      <c r="P621" s="7">
        <f t="shared" si="59"/>
        <v>2014</v>
      </c>
    </row>
    <row r="622" spans="1:16" ht="15.75" customHeight="1" x14ac:dyDescent="0.3">
      <c r="A622" s="7" t="s">
        <v>21</v>
      </c>
      <c r="B622" s="7" t="s">
        <v>28</v>
      </c>
      <c r="C622" s="8" t="s">
        <v>29</v>
      </c>
      <c r="D622" s="8" t="s">
        <v>35</v>
      </c>
      <c r="E622" s="7">
        <v>1767</v>
      </c>
      <c r="F622" s="8">
        <v>10</v>
      </c>
      <c r="G622" s="8">
        <v>15</v>
      </c>
      <c r="H622" s="8">
        <f t="shared" si="54"/>
        <v>44175</v>
      </c>
      <c r="I622" s="8">
        <v>3710.7</v>
      </c>
      <c r="J622" s="8">
        <f t="shared" si="55"/>
        <v>40464.300000000003</v>
      </c>
      <c r="K622" s="8">
        <v>17670</v>
      </c>
      <c r="L622" s="8">
        <f t="shared" si="56"/>
        <v>22794.300000000003</v>
      </c>
      <c r="M622" s="9">
        <v>41883</v>
      </c>
      <c r="N622" s="10">
        <f t="shared" si="57"/>
        <v>9</v>
      </c>
      <c r="O622" s="8" t="str">
        <f t="shared" si="58"/>
        <v>September</v>
      </c>
      <c r="P622" s="7">
        <f t="shared" si="59"/>
        <v>2014</v>
      </c>
    </row>
    <row r="623" spans="1:16" ht="15.75" customHeight="1" x14ac:dyDescent="0.3">
      <c r="A623" s="11" t="s">
        <v>25</v>
      </c>
      <c r="B623" s="11" t="s">
        <v>22</v>
      </c>
      <c r="C623" s="12" t="s">
        <v>29</v>
      </c>
      <c r="D623" s="12" t="s">
        <v>35</v>
      </c>
      <c r="E623" s="11">
        <v>1393</v>
      </c>
      <c r="F623" s="12">
        <v>10</v>
      </c>
      <c r="G623" s="12">
        <v>12</v>
      </c>
      <c r="H623" s="8">
        <f t="shared" si="54"/>
        <v>30646</v>
      </c>
      <c r="I623" s="12">
        <v>2340.2399999999998</v>
      </c>
      <c r="J623" s="8">
        <f t="shared" si="55"/>
        <v>28305.760000000002</v>
      </c>
      <c r="K623" s="12">
        <v>4179</v>
      </c>
      <c r="L623" s="8">
        <f t="shared" si="56"/>
        <v>24126.760000000002</v>
      </c>
      <c r="M623" s="13">
        <v>41913</v>
      </c>
      <c r="N623" s="10">
        <f t="shared" si="57"/>
        <v>10</v>
      </c>
      <c r="O623" s="8" t="str">
        <f t="shared" si="58"/>
        <v>October</v>
      </c>
      <c r="P623" s="7">
        <f t="shared" si="59"/>
        <v>2014</v>
      </c>
    </row>
    <row r="624" spans="1:16" ht="15.75" customHeight="1" x14ac:dyDescent="0.3">
      <c r="A624" s="7" t="s">
        <v>16</v>
      </c>
      <c r="B624" s="7" t="s">
        <v>20</v>
      </c>
      <c r="C624" s="8" t="s">
        <v>31</v>
      </c>
      <c r="D624" s="8" t="s">
        <v>35</v>
      </c>
      <c r="E624" s="7">
        <v>280</v>
      </c>
      <c r="F624" s="8">
        <v>250</v>
      </c>
      <c r="G624" s="8">
        <v>7</v>
      </c>
      <c r="H624" s="8">
        <f t="shared" si="54"/>
        <v>71960</v>
      </c>
      <c r="I624" s="8">
        <v>274.39999999999998</v>
      </c>
      <c r="J624" s="8">
        <f t="shared" si="55"/>
        <v>71685.600000000006</v>
      </c>
      <c r="K624" s="8">
        <v>1400</v>
      </c>
      <c r="L624" s="8">
        <f t="shared" si="56"/>
        <v>70285.600000000006</v>
      </c>
      <c r="M624" s="9">
        <v>41974</v>
      </c>
      <c r="N624" s="10">
        <f t="shared" si="57"/>
        <v>12</v>
      </c>
      <c r="O624" s="8" t="str">
        <f t="shared" si="58"/>
        <v>December</v>
      </c>
      <c r="P624" s="7">
        <f t="shared" si="59"/>
        <v>2014</v>
      </c>
    </row>
    <row r="625" spans="1:16" ht="15.75" customHeight="1" x14ac:dyDescent="0.3">
      <c r="A625" s="11" t="s">
        <v>25</v>
      </c>
      <c r="B625" s="11" t="s">
        <v>22</v>
      </c>
      <c r="C625" s="12" t="s">
        <v>32</v>
      </c>
      <c r="D625" s="12" t="s">
        <v>35</v>
      </c>
      <c r="E625" s="11">
        <v>1393</v>
      </c>
      <c r="F625" s="12">
        <v>260</v>
      </c>
      <c r="G625" s="12">
        <v>12</v>
      </c>
      <c r="H625" s="8">
        <f t="shared" si="54"/>
        <v>378896</v>
      </c>
      <c r="I625" s="12">
        <v>2340.2399999999998</v>
      </c>
      <c r="J625" s="8">
        <f t="shared" si="55"/>
        <v>376555.76</v>
      </c>
      <c r="K625" s="12">
        <v>4179</v>
      </c>
      <c r="L625" s="8">
        <f t="shared" si="56"/>
        <v>372376.76</v>
      </c>
      <c r="M625" s="13">
        <v>41913</v>
      </c>
      <c r="N625" s="10">
        <f t="shared" si="57"/>
        <v>10</v>
      </c>
      <c r="O625" s="8" t="str">
        <f t="shared" si="58"/>
        <v>October</v>
      </c>
      <c r="P625" s="7">
        <f t="shared" si="59"/>
        <v>2014</v>
      </c>
    </row>
    <row r="626" spans="1:16" ht="15.75" customHeight="1" x14ac:dyDescent="0.3">
      <c r="A626" s="7" t="s">
        <v>25</v>
      </c>
      <c r="B626" s="7" t="s">
        <v>28</v>
      </c>
      <c r="C626" s="8" t="s">
        <v>32</v>
      </c>
      <c r="D626" s="8" t="s">
        <v>35</v>
      </c>
      <c r="E626" s="7">
        <v>2015</v>
      </c>
      <c r="F626" s="8">
        <v>260</v>
      </c>
      <c r="G626" s="8">
        <v>12</v>
      </c>
      <c r="H626" s="8">
        <f t="shared" si="54"/>
        <v>548080</v>
      </c>
      <c r="I626" s="8">
        <v>3385.2</v>
      </c>
      <c r="J626" s="8">
        <f t="shared" si="55"/>
        <v>544694.80000000005</v>
      </c>
      <c r="K626" s="8">
        <v>6045</v>
      </c>
      <c r="L626" s="8">
        <f t="shared" si="56"/>
        <v>538649.80000000005</v>
      </c>
      <c r="M626" s="9">
        <v>41609</v>
      </c>
      <c r="N626" s="10">
        <f t="shared" si="57"/>
        <v>12</v>
      </c>
      <c r="O626" s="8" t="str">
        <f t="shared" si="58"/>
        <v>December</v>
      </c>
      <c r="P626" s="7">
        <f t="shared" si="59"/>
        <v>2013</v>
      </c>
    </row>
    <row r="627" spans="1:16" ht="15.75" customHeight="1" x14ac:dyDescent="0.3">
      <c r="A627" s="11" t="s">
        <v>27</v>
      </c>
      <c r="B627" s="11" t="s">
        <v>23</v>
      </c>
      <c r="C627" s="12" t="s">
        <v>18</v>
      </c>
      <c r="D627" s="12" t="s">
        <v>35</v>
      </c>
      <c r="E627" s="11">
        <v>801</v>
      </c>
      <c r="F627" s="12">
        <v>3</v>
      </c>
      <c r="G627" s="12">
        <v>300</v>
      </c>
      <c r="H627" s="8">
        <f t="shared" si="54"/>
        <v>242703</v>
      </c>
      <c r="I627" s="12">
        <v>33642</v>
      </c>
      <c r="J627" s="8">
        <f t="shared" si="55"/>
        <v>209061</v>
      </c>
      <c r="K627" s="12">
        <v>200250</v>
      </c>
      <c r="L627" s="8">
        <f t="shared" si="56"/>
        <v>8811</v>
      </c>
      <c r="M627" s="13">
        <v>41821</v>
      </c>
      <c r="N627" s="10">
        <f t="shared" si="57"/>
        <v>7</v>
      </c>
      <c r="O627" s="8" t="str">
        <f t="shared" si="58"/>
        <v>July</v>
      </c>
      <c r="P627" s="7">
        <f t="shared" si="59"/>
        <v>2014</v>
      </c>
    </row>
    <row r="628" spans="1:16" ht="15.75" customHeight="1" x14ac:dyDescent="0.3">
      <c r="A628" s="7" t="s">
        <v>26</v>
      </c>
      <c r="B628" s="7" t="s">
        <v>22</v>
      </c>
      <c r="C628" s="8" t="s">
        <v>18</v>
      </c>
      <c r="D628" s="8" t="s">
        <v>35</v>
      </c>
      <c r="E628" s="7">
        <v>1023</v>
      </c>
      <c r="F628" s="8">
        <v>3</v>
      </c>
      <c r="G628" s="8">
        <v>125</v>
      </c>
      <c r="H628" s="8">
        <f t="shared" si="54"/>
        <v>130944</v>
      </c>
      <c r="I628" s="8">
        <v>17902.5</v>
      </c>
      <c r="J628" s="8">
        <f t="shared" si="55"/>
        <v>113041.5</v>
      </c>
      <c r="K628" s="8">
        <v>122760</v>
      </c>
      <c r="L628" s="8">
        <f t="shared" si="56"/>
        <v>-9718.5</v>
      </c>
      <c r="M628" s="9">
        <v>41518</v>
      </c>
      <c r="N628" s="10">
        <f t="shared" si="57"/>
        <v>9</v>
      </c>
      <c r="O628" s="8" t="str">
        <f t="shared" si="58"/>
        <v>September</v>
      </c>
      <c r="P628" s="7">
        <f t="shared" si="59"/>
        <v>2013</v>
      </c>
    </row>
    <row r="629" spans="1:16" ht="15.75" customHeight="1" x14ac:dyDescent="0.3">
      <c r="A629" s="11" t="s">
        <v>27</v>
      </c>
      <c r="B629" s="11" t="s">
        <v>17</v>
      </c>
      <c r="C629" s="12" t="s">
        <v>18</v>
      </c>
      <c r="D629" s="12" t="s">
        <v>35</v>
      </c>
      <c r="E629" s="11">
        <v>1496</v>
      </c>
      <c r="F629" s="12">
        <v>3</v>
      </c>
      <c r="G629" s="12">
        <v>300</v>
      </c>
      <c r="H629" s="8">
        <f t="shared" si="54"/>
        <v>453288</v>
      </c>
      <c r="I629" s="12">
        <v>62832</v>
      </c>
      <c r="J629" s="8">
        <f t="shared" si="55"/>
        <v>390456</v>
      </c>
      <c r="K629" s="12">
        <v>374000</v>
      </c>
      <c r="L629" s="8">
        <f t="shared" si="56"/>
        <v>16456</v>
      </c>
      <c r="M629" s="13">
        <v>41913</v>
      </c>
      <c r="N629" s="10">
        <f t="shared" si="57"/>
        <v>10</v>
      </c>
      <c r="O629" s="8" t="str">
        <f t="shared" si="58"/>
        <v>October</v>
      </c>
      <c r="P629" s="7">
        <f t="shared" si="59"/>
        <v>2014</v>
      </c>
    </row>
    <row r="630" spans="1:16" ht="15.75" customHeight="1" x14ac:dyDescent="0.3">
      <c r="A630" s="7" t="s">
        <v>27</v>
      </c>
      <c r="B630" s="7" t="s">
        <v>28</v>
      </c>
      <c r="C630" s="8" t="s">
        <v>18</v>
      </c>
      <c r="D630" s="8" t="s">
        <v>35</v>
      </c>
      <c r="E630" s="7">
        <v>1010</v>
      </c>
      <c r="F630" s="8">
        <v>3</v>
      </c>
      <c r="G630" s="8">
        <v>300</v>
      </c>
      <c r="H630" s="8">
        <f t="shared" si="54"/>
        <v>306030</v>
      </c>
      <c r="I630" s="8">
        <v>42420</v>
      </c>
      <c r="J630" s="8">
        <f t="shared" si="55"/>
        <v>263610</v>
      </c>
      <c r="K630" s="8">
        <v>252500</v>
      </c>
      <c r="L630" s="8">
        <f t="shared" si="56"/>
        <v>11110</v>
      </c>
      <c r="M630" s="9">
        <v>41913</v>
      </c>
      <c r="N630" s="10">
        <f t="shared" si="57"/>
        <v>10</v>
      </c>
      <c r="O630" s="8" t="str">
        <f t="shared" si="58"/>
        <v>October</v>
      </c>
      <c r="P630" s="7">
        <f t="shared" si="59"/>
        <v>2014</v>
      </c>
    </row>
    <row r="631" spans="1:16" ht="15.75" customHeight="1" x14ac:dyDescent="0.3">
      <c r="A631" s="11" t="s">
        <v>21</v>
      </c>
      <c r="B631" s="11" t="s">
        <v>20</v>
      </c>
      <c r="C631" s="12" t="s">
        <v>18</v>
      </c>
      <c r="D631" s="12" t="s">
        <v>35</v>
      </c>
      <c r="E631" s="11">
        <v>1513</v>
      </c>
      <c r="F631" s="12">
        <v>3</v>
      </c>
      <c r="G631" s="12">
        <v>15</v>
      </c>
      <c r="H631" s="8">
        <f t="shared" si="54"/>
        <v>27234</v>
      </c>
      <c r="I631" s="12">
        <v>3177.3</v>
      </c>
      <c r="J631" s="8">
        <f t="shared" si="55"/>
        <v>24056.7</v>
      </c>
      <c r="K631" s="12">
        <v>15130</v>
      </c>
      <c r="L631" s="8">
        <f t="shared" si="56"/>
        <v>8926.7000000000007</v>
      </c>
      <c r="M631" s="13">
        <v>41944</v>
      </c>
      <c r="N631" s="10">
        <f t="shared" si="57"/>
        <v>11</v>
      </c>
      <c r="O631" s="8" t="str">
        <f t="shared" si="58"/>
        <v>November</v>
      </c>
      <c r="P631" s="7">
        <f t="shared" si="59"/>
        <v>2014</v>
      </c>
    </row>
    <row r="632" spans="1:16" ht="15.75" customHeight="1" x14ac:dyDescent="0.3">
      <c r="A632" s="7" t="s">
        <v>21</v>
      </c>
      <c r="B632" s="7" t="s">
        <v>17</v>
      </c>
      <c r="C632" s="8" t="s">
        <v>18</v>
      </c>
      <c r="D632" s="8" t="s">
        <v>35</v>
      </c>
      <c r="E632" s="7">
        <v>2300</v>
      </c>
      <c r="F632" s="8">
        <v>3</v>
      </c>
      <c r="G632" s="8">
        <v>15</v>
      </c>
      <c r="H632" s="8">
        <f t="shared" si="54"/>
        <v>41400</v>
      </c>
      <c r="I632" s="8">
        <v>4830</v>
      </c>
      <c r="J632" s="8">
        <f t="shared" si="55"/>
        <v>36570</v>
      </c>
      <c r="K632" s="8">
        <v>23000</v>
      </c>
      <c r="L632" s="8">
        <f t="shared" si="56"/>
        <v>13570</v>
      </c>
      <c r="M632" s="9">
        <v>41974</v>
      </c>
      <c r="N632" s="10">
        <f t="shared" si="57"/>
        <v>12</v>
      </c>
      <c r="O632" s="8" t="str">
        <f t="shared" si="58"/>
        <v>December</v>
      </c>
      <c r="P632" s="7">
        <f t="shared" si="59"/>
        <v>2014</v>
      </c>
    </row>
    <row r="633" spans="1:16" ht="15.75" customHeight="1" x14ac:dyDescent="0.3">
      <c r="A633" s="11" t="s">
        <v>26</v>
      </c>
      <c r="B633" s="11" t="s">
        <v>23</v>
      </c>
      <c r="C633" s="12" t="s">
        <v>18</v>
      </c>
      <c r="D633" s="12" t="s">
        <v>35</v>
      </c>
      <c r="E633" s="11">
        <v>2821</v>
      </c>
      <c r="F633" s="12">
        <v>3</v>
      </c>
      <c r="G633" s="12">
        <v>125</v>
      </c>
      <c r="H633" s="8">
        <f t="shared" si="54"/>
        <v>361088</v>
      </c>
      <c r="I633" s="12">
        <v>49367.5</v>
      </c>
      <c r="J633" s="8">
        <f t="shared" si="55"/>
        <v>311720.5</v>
      </c>
      <c r="K633" s="12">
        <v>338520</v>
      </c>
      <c r="L633" s="8">
        <f t="shared" si="56"/>
        <v>-26799.5</v>
      </c>
      <c r="M633" s="13">
        <v>41609</v>
      </c>
      <c r="N633" s="10">
        <f t="shared" si="57"/>
        <v>12</v>
      </c>
      <c r="O633" s="8" t="str">
        <f t="shared" si="58"/>
        <v>December</v>
      </c>
      <c r="P633" s="7">
        <f t="shared" si="59"/>
        <v>2013</v>
      </c>
    </row>
    <row r="634" spans="1:16" ht="15.75" customHeight="1" x14ac:dyDescent="0.3">
      <c r="A634" s="7" t="s">
        <v>16</v>
      </c>
      <c r="B634" s="7" t="s">
        <v>17</v>
      </c>
      <c r="C634" s="8" t="s">
        <v>24</v>
      </c>
      <c r="D634" s="8" t="s">
        <v>35</v>
      </c>
      <c r="E634" s="7">
        <v>2227.5</v>
      </c>
      <c r="F634" s="8">
        <v>5</v>
      </c>
      <c r="G634" s="8">
        <v>350</v>
      </c>
      <c r="H634" s="8">
        <f t="shared" si="54"/>
        <v>790762.5</v>
      </c>
      <c r="I634" s="8">
        <v>109147.5</v>
      </c>
      <c r="J634" s="8">
        <f t="shared" si="55"/>
        <v>681615</v>
      </c>
      <c r="K634" s="8">
        <v>579150</v>
      </c>
      <c r="L634" s="8">
        <f t="shared" si="56"/>
        <v>102465</v>
      </c>
      <c r="M634" s="9">
        <v>41640</v>
      </c>
      <c r="N634" s="10">
        <f t="shared" si="57"/>
        <v>1</v>
      </c>
      <c r="O634" s="8" t="str">
        <f t="shared" si="58"/>
        <v>January</v>
      </c>
      <c r="P634" s="7">
        <f t="shared" si="59"/>
        <v>2014</v>
      </c>
    </row>
    <row r="635" spans="1:16" ht="15.75" customHeight="1" x14ac:dyDescent="0.3">
      <c r="A635" s="11" t="s">
        <v>16</v>
      </c>
      <c r="B635" s="11" t="s">
        <v>20</v>
      </c>
      <c r="C635" s="12" t="s">
        <v>24</v>
      </c>
      <c r="D635" s="12" t="s">
        <v>35</v>
      </c>
      <c r="E635" s="11">
        <v>1199</v>
      </c>
      <c r="F635" s="12">
        <v>5</v>
      </c>
      <c r="G635" s="12">
        <v>350</v>
      </c>
      <c r="H635" s="8">
        <f t="shared" si="54"/>
        <v>425645</v>
      </c>
      <c r="I635" s="12">
        <v>58751</v>
      </c>
      <c r="J635" s="8">
        <f t="shared" si="55"/>
        <v>366894</v>
      </c>
      <c r="K635" s="12">
        <v>311740</v>
      </c>
      <c r="L635" s="8">
        <f t="shared" si="56"/>
        <v>55154</v>
      </c>
      <c r="M635" s="13">
        <v>41730</v>
      </c>
      <c r="N635" s="10">
        <f t="shared" si="57"/>
        <v>4</v>
      </c>
      <c r="O635" s="8" t="str">
        <f t="shared" si="58"/>
        <v>April</v>
      </c>
      <c r="P635" s="7">
        <f t="shared" si="59"/>
        <v>2014</v>
      </c>
    </row>
    <row r="636" spans="1:16" ht="15.75" customHeight="1" x14ac:dyDescent="0.3">
      <c r="A636" s="7" t="s">
        <v>16</v>
      </c>
      <c r="B636" s="7" t="s">
        <v>17</v>
      </c>
      <c r="C636" s="8" t="s">
        <v>24</v>
      </c>
      <c r="D636" s="8" t="s">
        <v>35</v>
      </c>
      <c r="E636" s="7">
        <v>200</v>
      </c>
      <c r="F636" s="8">
        <v>5</v>
      </c>
      <c r="G636" s="8">
        <v>350</v>
      </c>
      <c r="H636" s="8">
        <f t="shared" si="54"/>
        <v>71000</v>
      </c>
      <c r="I636" s="8">
        <v>9800</v>
      </c>
      <c r="J636" s="8">
        <f t="shared" si="55"/>
        <v>61200</v>
      </c>
      <c r="K636" s="8">
        <v>52000</v>
      </c>
      <c r="L636" s="8">
        <f t="shared" si="56"/>
        <v>9200</v>
      </c>
      <c r="M636" s="9">
        <v>41760</v>
      </c>
      <c r="N636" s="10">
        <f t="shared" si="57"/>
        <v>5</v>
      </c>
      <c r="O636" s="8" t="str">
        <f t="shared" si="58"/>
        <v>May</v>
      </c>
      <c r="P636" s="7">
        <f t="shared" si="59"/>
        <v>2014</v>
      </c>
    </row>
    <row r="637" spans="1:16" ht="15.75" customHeight="1" x14ac:dyDescent="0.3">
      <c r="A637" s="11" t="s">
        <v>16</v>
      </c>
      <c r="B637" s="11" t="s">
        <v>17</v>
      </c>
      <c r="C637" s="12" t="s">
        <v>24</v>
      </c>
      <c r="D637" s="12" t="s">
        <v>35</v>
      </c>
      <c r="E637" s="11">
        <v>388</v>
      </c>
      <c r="F637" s="12">
        <v>5</v>
      </c>
      <c r="G637" s="12">
        <v>7</v>
      </c>
      <c r="H637" s="8">
        <f t="shared" si="54"/>
        <v>4656</v>
      </c>
      <c r="I637" s="12">
        <v>380.24</v>
      </c>
      <c r="J637" s="8">
        <f t="shared" si="55"/>
        <v>4275.76</v>
      </c>
      <c r="K637" s="12">
        <v>1940</v>
      </c>
      <c r="L637" s="8">
        <f t="shared" si="56"/>
        <v>2335.7600000000002</v>
      </c>
      <c r="M637" s="13">
        <v>41883</v>
      </c>
      <c r="N637" s="10">
        <f t="shared" si="57"/>
        <v>9</v>
      </c>
      <c r="O637" s="8" t="str">
        <f t="shared" si="58"/>
        <v>September</v>
      </c>
      <c r="P637" s="7">
        <f t="shared" si="59"/>
        <v>2014</v>
      </c>
    </row>
    <row r="638" spans="1:16" ht="15.75" customHeight="1" x14ac:dyDescent="0.3">
      <c r="A638" s="7" t="s">
        <v>16</v>
      </c>
      <c r="B638" s="7" t="s">
        <v>23</v>
      </c>
      <c r="C638" s="8" t="s">
        <v>24</v>
      </c>
      <c r="D638" s="8" t="s">
        <v>35</v>
      </c>
      <c r="E638" s="7">
        <v>1727</v>
      </c>
      <c r="F638" s="8">
        <v>5</v>
      </c>
      <c r="G638" s="8">
        <v>7</v>
      </c>
      <c r="H638" s="8">
        <f t="shared" si="54"/>
        <v>20724</v>
      </c>
      <c r="I638" s="8">
        <v>1692.46</v>
      </c>
      <c r="J638" s="8">
        <f t="shared" si="55"/>
        <v>19031.54</v>
      </c>
      <c r="K638" s="8">
        <v>8635</v>
      </c>
      <c r="L638" s="8">
        <f t="shared" si="56"/>
        <v>10396.540000000001</v>
      </c>
      <c r="M638" s="9">
        <v>41548</v>
      </c>
      <c r="N638" s="10">
        <f t="shared" si="57"/>
        <v>10</v>
      </c>
      <c r="O638" s="8" t="str">
        <f t="shared" si="58"/>
        <v>October</v>
      </c>
      <c r="P638" s="7">
        <f t="shared" si="59"/>
        <v>2013</v>
      </c>
    </row>
    <row r="639" spans="1:16" ht="15.75" customHeight="1" x14ac:dyDescent="0.3">
      <c r="A639" s="11" t="s">
        <v>21</v>
      </c>
      <c r="B639" s="11" t="s">
        <v>17</v>
      </c>
      <c r="C639" s="12" t="s">
        <v>24</v>
      </c>
      <c r="D639" s="12" t="s">
        <v>35</v>
      </c>
      <c r="E639" s="11">
        <v>2300</v>
      </c>
      <c r="F639" s="12">
        <v>5</v>
      </c>
      <c r="G639" s="12">
        <v>15</v>
      </c>
      <c r="H639" s="8">
        <f t="shared" si="54"/>
        <v>46000</v>
      </c>
      <c r="I639" s="12">
        <v>4830</v>
      </c>
      <c r="J639" s="8">
        <f t="shared" si="55"/>
        <v>41170</v>
      </c>
      <c r="K639" s="12">
        <v>23000</v>
      </c>
      <c r="L639" s="8">
        <f t="shared" si="56"/>
        <v>18170</v>
      </c>
      <c r="M639" s="13">
        <v>41974</v>
      </c>
      <c r="N639" s="10">
        <f t="shared" si="57"/>
        <v>12</v>
      </c>
      <c r="O639" s="8" t="str">
        <f t="shared" si="58"/>
        <v>December</v>
      </c>
      <c r="P639" s="7">
        <f t="shared" si="59"/>
        <v>2014</v>
      </c>
    </row>
    <row r="640" spans="1:16" ht="15.75" customHeight="1" x14ac:dyDescent="0.3">
      <c r="A640" s="7" t="s">
        <v>16</v>
      </c>
      <c r="B640" s="7" t="s">
        <v>23</v>
      </c>
      <c r="C640" s="8" t="s">
        <v>29</v>
      </c>
      <c r="D640" s="8" t="s">
        <v>35</v>
      </c>
      <c r="E640" s="7">
        <v>260</v>
      </c>
      <c r="F640" s="8">
        <v>10</v>
      </c>
      <c r="G640" s="8">
        <v>20</v>
      </c>
      <c r="H640" s="8">
        <f t="shared" si="54"/>
        <v>7800</v>
      </c>
      <c r="I640" s="8">
        <v>728</v>
      </c>
      <c r="J640" s="8">
        <f t="shared" si="55"/>
        <v>7072</v>
      </c>
      <c r="K640" s="8">
        <v>2600</v>
      </c>
      <c r="L640" s="8">
        <f t="shared" si="56"/>
        <v>4472</v>
      </c>
      <c r="M640" s="9">
        <v>41671</v>
      </c>
      <c r="N640" s="10">
        <f t="shared" si="57"/>
        <v>2</v>
      </c>
      <c r="O640" s="8" t="str">
        <f t="shared" si="58"/>
        <v>February</v>
      </c>
      <c r="P640" s="7">
        <f t="shared" si="59"/>
        <v>2014</v>
      </c>
    </row>
    <row r="641" spans="1:16" ht="15.75" customHeight="1" x14ac:dyDescent="0.3">
      <c r="A641" s="11" t="s">
        <v>21</v>
      </c>
      <c r="B641" s="11" t="s">
        <v>17</v>
      </c>
      <c r="C641" s="12" t="s">
        <v>29</v>
      </c>
      <c r="D641" s="12" t="s">
        <v>35</v>
      </c>
      <c r="E641" s="11">
        <v>2470</v>
      </c>
      <c r="F641" s="12">
        <v>10</v>
      </c>
      <c r="G641" s="12">
        <v>15</v>
      </c>
      <c r="H641" s="8">
        <f t="shared" si="54"/>
        <v>61750</v>
      </c>
      <c r="I641" s="12">
        <v>5187</v>
      </c>
      <c r="J641" s="8">
        <f t="shared" si="55"/>
        <v>56563</v>
      </c>
      <c r="K641" s="12">
        <v>24700</v>
      </c>
      <c r="L641" s="8">
        <f t="shared" si="56"/>
        <v>31863</v>
      </c>
      <c r="M641" s="13">
        <v>41518</v>
      </c>
      <c r="N641" s="10">
        <f t="shared" si="57"/>
        <v>9</v>
      </c>
      <c r="O641" s="8" t="str">
        <f t="shared" si="58"/>
        <v>September</v>
      </c>
      <c r="P641" s="7">
        <f t="shared" si="59"/>
        <v>2013</v>
      </c>
    </row>
    <row r="642" spans="1:16" ht="15.75" customHeight="1" x14ac:dyDescent="0.3">
      <c r="A642" s="7" t="s">
        <v>21</v>
      </c>
      <c r="B642" s="7" t="s">
        <v>17</v>
      </c>
      <c r="C642" s="8" t="s">
        <v>29</v>
      </c>
      <c r="D642" s="8" t="s">
        <v>35</v>
      </c>
      <c r="E642" s="7">
        <v>1743</v>
      </c>
      <c r="F642" s="8">
        <v>10</v>
      </c>
      <c r="G642" s="8">
        <v>15</v>
      </c>
      <c r="H642" s="8">
        <f t="shared" si="54"/>
        <v>43575</v>
      </c>
      <c r="I642" s="8">
        <v>3660.3</v>
      </c>
      <c r="J642" s="8">
        <f t="shared" si="55"/>
        <v>39914.699999999997</v>
      </c>
      <c r="K642" s="8">
        <v>17430</v>
      </c>
      <c r="L642" s="8">
        <f t="shared" si="56"/>
        <v>22484.699999999997</v>
      </c>
      <c r="M642" s="9">
        <v>41548</v>
      </c>
      <c r="N642" s="10">
        <f t="shared" si="57"/>
        <v>10</v>
      </c>
      <c r="O642" s="8" t="str">
        <f t="shared" si="58"/>
        <v>October</v>
      </c>
      <c r="P642" s="7">
        <f t="shared" si="59"/>
        <v>2013</v>
      </c>
    </row>
    <row r="643" spans="1:16" ht="15.75" customHeight="1" x14ac:dyDescent="0.3">
      <c r="A643" s="11" t="s">
        <v>25</v>
      </c>
      <c r="B643" s="11" t="s">
        <v>28</v>
      </c>
      <c r="C643" s="12" t="s">
        <v>29</v>
      </c>
      <c r="D643" s="12" t="s">
        <v>35</v>
      </c>
      <c r="E643" s="11">
        <v>2914</v>
      </c>
      <c r="F643" s="12">
        <v>10</v>
      </c>
      <c r="G643" s="12">
        <v>12</v>
      </c>
      <c r="H643" s="8">
        <f t="shared" ref="H643:H701" si="60">E643*(F643+G643)</f>
        <v>64108</v>
      </c>
      <c r="I643" s="12">
        <v>4895.5200000000004</v>
      </c>
      <c r="J643" s="8">
        <f t="shared" ref="J643:J701" si="61">H643-I643</f>
        <v>59212.479999999996</v>
      </c>
      <c r="K643" s="12">
        <v>8742</v>
      </c>
      <c r="L643" s="8">
        <f t="shared" ref="L643:L701" si="62">J643-K643</f>
        <v>50470.479999999996</v>
      </c>
      <c r="M643" s="13">
        <v>41913</v>
      </c>
      <c r="N643" s="10">
        <f t="shared" ref="N643:N701" si="63">MONTH(M643)</f>
        <v>10</v>
      </c>
      <c r="O643" s="8" t="str">
        <f t="shared" ref="O643:O701" si="64">TEXT(M643,"MMMM")</f>
        <v>October</v>
      </c>
      <c r="P643" s="7">
        <f t="shared" ref="P643:P701" si="65">YEAR(M643)</f>
        <v>2014</v>
      </c>
    </row>
    <row r="644" spans="1:16" ht="15.75" customHeight="1" x14ac:dyDescent="0.3">
      <c r="A644" s="7" t="s">
        <v>16</v>
      </c>
      <c r="B644" s="7" t="s">
        <v>22</v>
      </c>
      <c r="C644" s="8" t="s">
        <v>29</v>
      </c>
      <c r="D644" s="8" t="s">
        <v>35</v>
      </c>
      <c r="E644" s="7">
        <v>1731</v>
      </c>
      <c r="F644" s="8">
        <v>10</v>
      </c>
      <c r="G644" s="8">
        <v>7</v>
      </c>
      <c r="H644" s="8">
        <f t="shared" si="60"/>
        <v>29427</v>
      </c>
      <c r="I644" s="8">
        <v>1696.38</v>
      </c>
      <c r="J644" s="8">
        <f t="shared" si="61"/>
        <v>27730.62</v>
      </c>
      <c r="K644" s="8">
        <v>8655</v>
      </c>
      <c r="L644" s="8">
        <f t="shared" si="62"/>
        <v>19075.62</v>
      </c>
      <c r="M644" s="9">
        <v>41913</v>
      </c>
      <c r="N644" s="10">
        <f t="shared" si="63"/>
        <v>10</v>
      </c>
      <c r="O644" s="8" t="str">
        <f t="shared" si="64"/>
        <v>October</v>
      </c>
      <c r="P644" s="7">
        <f t="shared" si="65"/>
        <v>2014</v>
      </c>
    </row>
    <row r="645" spans="1:16" ht="15.75" customHeight="1" x14ac:dyDescent="0.3">
      <c r="A645" s="11" t="s">
        <v>16</v>
      </c>
      <c r="B645" s="11" t="s">
        <v>17</v>
      </c>
      <c r="C645" s="12" t="s">
        <v>29</v>
      </c>
      <c r="D645" s="12" t="s">
        <v>35</v>
      </c>
      <c r="E645" s="11">
        <v>700</v>
      </c>
      <c r="F645" s="12">
        <v>10</v>
      </c>
      <c r="G645" s="12">
        <v>350</v>
      </c>
      <c r="H645" s="8">
        <f t="shared" si="60"/>
        <v>252000</v>
      </c>
      <c r="I645" s="12">
        <v>34300</v>
      </c>
      <c r="J645" s="8">
        <f t="shared" si="61"/>
        <v>217700</v>
      </c>
      <c r="K645" s="12">
        <v>182000</v>
      </c>
      <c r="L645" s="8">
        <f t="shared" si="62"/>
        <v>35700</v>
      </c>
      <c r="M645" s="13">
        <v>41944</v>
      </c>
      <c r="N645" s="10">
        <f t="shared" si="63"/>
        <v>11</v>
      </c>
      <c r="O645" s="8" t="str">
        <f t="shared" si="64"/>
        <v>November</v>
      </c>
      <c r="P645" s="7">
        <f t="shared" si="65"/>
        <v>2014</v>
      </c>
    </row>
    <row r="646" spans="1:16" ht="15.75" customHeight="1" x14ac:dyDescent="0.3">
      <c r="A646" s="7" t="s">
        <v>25</v>
      </c>
      <c r="B646" s="7" t="s">
        <v>17</v>
      </c>
      <c r="C646" s="8" t="s">
        <v>29</v>
      </c>
      <c r="D646" s="8" t="s">
        <v>35</v>
      </c>
      <c r="E646" s="7">
        <v>2222</v>
      </c>
      <c r="F646" s="8">
        <v>10</v>
      </c>
      <c r="G646" s="8">
        <v>12</v>
      </c>
      <c r="H646" s="8">
        <f t="shared" si="60"/>
        <v>48884</v>
      </c>
      <c r="I646" s="8">
        <v>3732.96</v>
      </c>
      <c r="J646" s="8">
        <f t="shared" si="61"/>
        <v>45151.040000000001</v>
      </c>
      <c r="K646" s="8">
        <v>6666</v>
      </c>
      <c r="L646" s="8">
        <f t="shared" si="62"/>
        <v>38485.040000000001</v>
      </c>
      <c r="M646" s="9">
        <v>41579</v>
      </c>
      <c r="N646" s="10">
        <f t="shared" si="63"/>
        <v>11</v>
      </c>
      <c r="O646" s="8" t="str">
        <f t="shared" si="64"/>
        <v>November</v>
      </c>
      <c r="P646" s="7">
        <f t="shared" si="65"/>
        <v>2013</v>
      </c>
    </row>
    <row r="647" spans="1:16" ht="15.75" customHeight="1" x14ac:dyDescent="0.3">
      <c r="A647" s="11" t="s">
        <v>16</v>
      </c>
      <c r="B647" s="11" t="s">
        <v>28</v>
      </c>
      <c r="C647" s="12" t="s">
        <v>29</v>
      </c>
      <c r="D647" s="12" t="s">
        <v>35</v>
      </c>
      <c r="E647" s="11">
        <v>1177</v>
      </c>
      <c r="F647" s="12">
        <v>10</v>
      </c>
      <c r="G647" s="12">
        <v>350</v>
      </c>
      <c r="H647" s="8">
        <f t="shared" si="60"/>
        <v>423720</v>
      </c>
      <c r="I647" s="12">
        <v>57673</v>
      </c>
      <c r="J647" s="8">
        <f t="shared" si="61"/>
        <v>366047</v>
      </c>
      <c r="K647" s="12">
        <v>306020</v>
      </c>
      <c r="L647" s="8">
        <f t="shared" si="62"/>
        <v>60027</v>
      </c>
      <c r="M647" s="13">
        <v>41944</v>
      </c>
      <c r="N647" s="10">
        <f t="shared" si="63"/>
        <v>11</v>
      </c>
      <c r="O647" s="8" t="str">
        <f t="shared" si="64"/>
        <v>November</v>
      </c>
      <c r="P647" s="7">
        <f t="shared" si="65"/>
        <v>2014</v>
      </c>
    </row>
    <row r="648" spans="1:16" ht="15.75" customHeight="1" x14ac:dyDescent="0.3">
      <c r="A648" s="7" t="s">
        <v>16</v>
      </c>
      <c r="B648" s="7" t="s">
        <v>22</v>
      </c>
      <c r="C648" s="8" t="s">
        <v>29</v>
      </c>
      <c r="D648" s="8" t="s">
        <v>35</v>
      </c>
      <c r="E648" s="7">
        <v>1922</v>
      </c>
      <c r="F648" s="8">
        <v>10</v>
      </c>
      <c r="G648" s="8">
        <v>350</v>
      </c>
      <c r="H648" s="8">
        <f t="shared" si="60"/>
        <v>691920</v>
      </c>
      <c r="I648" s="8">
        <v>94178</v>
      </c>
      <c r="J648" s="8">
        <f t="shared" si="61"/>
        <v>597742</v>
      </c>
      <c r="K648" s="8">
        <v>499720</v>
      </c>
      <c r="L648" s="8">
        <f t="shared" si="62"/>
        <v>98022</v>
      </c>
      <c r="M648" s="9">
        <v>41579</v>
      </c>
      <c r="N648" s="10">
        <f t="shared" si="63"/>
        <v>11</v>
      </c>
      <c r="O648" s="8" t="str">
        <f t="shared" si="64"/>
        <v>November</v>
      </c>
      <c r="P648" s="7">
        <f t="shared" si="65"/>
        <v>2013</v>
      </c>
    </row>
    <row r="649" spans="1:16" ht="15.75" customHeight="1" x14ac:dyDescent="0.3">
      <c r="A649" s="11" t="s">
        <v>26</v>
      </c>
      <c r="B649" s="11" t="s">
        <v>23</v>
      </c>
      <c r="C649" s="12" t="s">
        <v>30</v>
      </c>
      <c r="D649" s="12" t="s">
        <v>35</v>
      </c>
      <c r="E649" s="11">
        <v>1575</v>
      </c>
      <c r="F649" s="12">
        <v>120</v>
      </c>
      <c r="G649" s="12">
        <v>125</v>
      </c>
      <c r="H649" s="8">
        <f t="shared" si="60"/>
        <v>385875</v>
      </c>
      <c r="I649" s="12">
        <v>27562.5</v>
      </c>
      <c r="J649" s="8">
        <f t="shared" si="61"/>
        <v>358312.5</v>
      </c>
      <c r="K649" s="12">
        <v>189000</v>
      </c>
      <c r="L649" s="8">
        <f t="shared" si="62"/>
        <v>169312.5</v>
      </c>
      <c r="M649" s="13">
        <v>41671</v>
      </c>
      <c r="N649" s="10">
        <f t="shared" si="63"/>
        <v>2</v>
      </c>
      <c r="O649" s="8" t="str">
        <f t="shared" si="64"/>
        <v>February</v>
      </c>
      <c r="P649" s="7">
        <f t="shared" si="65"/>
        <v>2014</v>
      </c>
    </row>
    <row r="650" spans="1:16" ht="15.75" customHeight="1" x14ac:dyDescent="0.3">
      <c r="A650" s="7" t="s">
        <v>16</v>
      </c>
      <c r="B650" s="7" t="s">
        <v>28</v>
      </c>
      <c r="C650" s="8" t="s">
        <v>30</v>
      </c>
      <c r="D650" s="8" t="s">
        <v>35</v>
      </c>
      <c r="E650" s="7">
        <v>606</v>
      </c>
      <c r="F650" s="8">
        <v>120</v>
      </c>
      <c r="G650" s="8">
        <v>20</v>
      </c>
      <c r="H650" s="8">
        <f t="shared" si="60"/>
        <v>84840</v>
      </c>
      <c r="I650" s="8">
        <v>1696.8000000000002</v>
      </c>
      <c r="J650" s="8">
        <f t="shared" si="61"/>
        <v>83143.199999999997</v>
      </c>
      <c r="K650" s="8">
        <v>6060</v>
      </c>
      <c r="L650" s="8">
        <f t="shared" si="62"/>
        <v>77083.199999999997</v>
      </c>
      <c r="M650" s="9">
        <v>41730</v>
      </c>
      <c r="N650" s="10">
        <f t="shared" si="63"/>
        <v>4</v>
      </c>
      <c r="O650" s="8" t="str">
        <f t="shared" si="64"/>
        <v>April</v>
      </c>
      <c r="P650" s="7">
        <f t="shared" si="65"/>
        <v>2014</v>
      </c>
    </row>
    <row r="651" spans="1:16" ht="15.75" customHeight="1" x14ac:dyDescent="0.3">
      <c r="A651" s="11" t="s">
        <v>27</v>
      </c>
      <c r="B651" s="11" t="s">
        <v>28</v>
      </c>
      <c r="C651" s="12" t="s">
        <v>30</v>
      </c>
      <c r="D651" s="12" t="s">
        <v>35</v>
      </c>
      <c r="E651" s="11">
        <v>2460</v>
      </c>
      <c r="F651" s="12">
        <v>120</v>
      </c>
      <c r="G651" s="12">
        <v>300</v>
      </c>
      <c r="H651" s="8">
        <f t="shared" si="60"/>
        <v>1033200</v>
      </c>
      <c r="I651" s="12">
        <v>103320</v>
      </c>
      <c r="J651" s="8">
        <f t="shared" si="61"/>
        <v>929880</v>
      </c>
      <c r="K651" s="12">
        <v>615000</v>
      </c>
      <c r="L651" s="8">
        <f t="shared" si="62"/>
        <v>314880</v>
      </c>
      <c r="M651" s="13">
        <v>41821</v>
      </c>
      <c r="N651" s="10">
        <f t="shared" si="63"/>
        <v>7</v>
      </c>
      <c r="O651" s="8" t="str">
        <f t="shared" si="64"/>
        <v>July</v>
      </c>
      <c r="P651" s="7">
        <f t="shared" si="65"/>
        <v>2014</v>
      </c>
    </row>
    <row r="652" spans="1:16" ht="15.75" customHeight="1" x14ac:dyDescent="0.3">
      <c r="A652" s="7" t="s">
        <v>27</v>
      </c>
      <c r="B652" s="7" t="s">
        <v>17</v>
      </c>
      <c r="C652" s="8" t="s">
        <v>30</v>
      </c>
      <c r="D652" s="8" t="s">
        <v>35</v>
      </c>
      <c r="E652" s="7">
        <v>269</v>
      </c>
      <c r="F652" s="8">
        <v>120</v>
      </c>
      <c r="G652" s="8">
        <v>300</v>
      </c>
      <c r="H652" s="8">
        <f t="shared" si="60"/>
        <v>112980</v>
      </c>
      <c r="I652" s="8">
        <v>11298</v>
      </c>
      <c r="J652" s="8">
        <f t="shared" si="61"/>
        <v>101682</v>
      </c>
      <c r="K652" s="8">
        <v>67250</v>
      </c>
      <c r="L652" s="8">
        <f t="shared" si="62"/>
        <v>34432</v>
      </c>
      <c r="M652" s="9">
        <v>41548</v>
      </c>
      <c r="N652" s="10">
        <f t="shared" si="63"/>
        <v>10</v>
      </c>
      <c r="O652" s="8" t="str">
        <f t="shared" si="64"/>
        <v>October</v>
      </c>
      <c r="P652" s="7">
        <f t="shared" si="65"/>
        <v>2013</v>
      </c>
    </row>
    <row r="653" spans="1:16" ht="15.75" customHeight="1" x14ac:dyDescent="0.3">
      <c r="A653" s="11" t="s">
        <v>27</v>
      </c>
      <c r="B653" s="11" t="s">
        <v>20</v>
      </c>
      <c r="C653" s="12" t="s">
        <v>30</v>
      </c>
      <c r="D653" s="12" t="s">
        <v>35</v>
      </c>
      <c r="E653" s="11">
        <v>2536</v>
      </c>
      <c r="F653" s="12">
        <v>120</v>
      </c>
      <c r="G653" s="12">
        <v>300</v>
      </c>
      <c r="H653" s="8">
        <f t="shared" si="60"/>
        <v>1065120</v>
      </c>
      <c r="I653" s="12">
        <v>106512</v>
      </c>
      <c r="J653" s="8">
        <f t="shared" si="61"/>
        <v>958608</v>
      </c>
      <c r="K653" s="12">
        <v>634000</v>
      </c>
      <c r="L653" s="8">
        <f t="shared" si="62"/>
        <v>324608</v>
      </c>
      <c r="M653" s="13">
        <v>41579</v>
      </c>
      <c r="N653" s="10">
        <f t="shared" si="63"/>
        <v>11</v>
      </c>
      <c r="O653" s="8" t="str">
        <f t="shared" si="64"/>
        <v>November</v>
      </c>
      <c r="P653" s="7">
        <f t="shared" si="65"/>
        <v>2013</v>
      </c>
    </row>
    <row r="654" spans="1:16" ht="15.75" customHeight="1" x14ac:dyDescent="0.3">
      <c r="A654" s="7" t="s">
        <v>16</v>
      </c>
      <c r="B654" s="7" t="s">
        <v>23</v>
      </c>
      <c r="C654" s="8" t="s">
        <v>31</v>
      </c>
      <c r="D654" s="8" t="s">
        <v>35</v>
      </c>
      <c r="E654" s="7">
        <v>2903</v>
      </c>
      <c r="F654" s="8">
        <v>250</v>
      </c>
      <c r="G654" s="8">
        <v>7</v>
      </c>
      <c r="H654" s="8">
        <f t="shared" si="60"/>
        <v>746071</v>
      </c>
      <c r="I654" s="8">
        <v>2844.94</v>
      </c>
      <c r="J654" s="8">
        <f t="shared" si="61"/>
        <v>743226.06</v>
      </c>
      <c r="K654" s="8">
        <v>14515</v>
      </c>
      <c r="L654" s="8">
        <f t="shared" si="62"/>
        <v>728711.06</v>
      </c>
      <c r="M654" s="9">
        <v>41699</v>
      </c>
      <c r="N654" s="10">
        <f t="shared" si="63"/>
        <v>3</v>
      </c>
      <c r="O654" s="8" t="str">
        <f t="shared" si="64"/>
        <v>March</v>
      </c>
      <c r="P654" s="7">
        <f t="shared" si="65"/>
        <v>2014</v>
      </c>
    </row>
    <row r="655" spans="1:16" ht="15.75" customHeight="1" x14ac:dyDescent="0.3">
      <c r="A655" s="11" t="s">
        <v>27</v>
      </c>
      <c r="B655" s="11" t="s">
        <v>28</v>
      </c>
      <c r="C655" s="12" t="s">
        <v>31</v>
      </c>
      <c r="D655" s="12" t="s">
        <v>35</v>
      </c>
      <c r="E655" s="11">
        <v>2541</v>
      </c>
      <c r="F655" s="12">
        <v>250</v>
      </c>
      <c r="G655" s="12">
        <v>300</v>
      </c>
      <c r="H655" s="8">
        <f t="shared" si="60"/>
        <v>1397550</v>
      </c>
      <c r="I655" s="12">
        <v>106722</v>
      </c>
      <c r="J655" s="8">
        <f t="shared" si="61"/>
        <v>1290828</v>
      </c>
      <c r="K655" s="12">
        <v>635250</v>
      </c>
      <c r="L655" s="8">
        <f t="shared" si="62"/>
        <v>655578</v>
      </c>
      <c r="M655" s="13">
        <v>41852</v>
      </c>
      <c r="N655" s="10">
        <f t="shared" si="63"/>
        <v>8</v>
      </c>
      <c r="O655" s="8" t="str">
        <f t="shared" si="64"/>
        <v>August</v>
      </c>
      <c r="P655" s="7">
        <f t="shared" si="65"/>
        <v>2014</v>
      </c>
    </row>
    <row r="656" spans="1:16" ht="15.75" customHeight="1" x14ac:dyDescent="0.3">
      <c r="A656" s="7" t="s">
        <v>27</v>
      </c>
      <c r="B656" s="7" t="s">
        <v>17</v>
      </c>
      <c r="C656" s="8" t="s">
        <v>31</v>
      </c>
      <c r="D656" s="8" t="s">
        <v>35</v>
      </c>
      <c r="E656" s="7">
        <v>269</v>
      </c>
      <c r="F656" s="8">
        <v>250</v>
      </c>
      <c r="G656" s="8">
        <v>300</v>
      </c>
      <c r="H656" s="8">
        <f t="shared" si="60"/>
        <v>147950</v>
      </c>
      <c r="I656" s="8">
        <v>11298</v>
      </c>
      <c r="J656" s="8">
        <f t="shared" si="61"/>
        <v>136652</v>
      </c>
      <c r="K656" s="8">
        <v>67250</v>
      </c>
      <c r="L656" s="8">
        <f t="shared" si="62"/>
        <v>69402</v>
      </c>
      <c r="M656" s="9">
        <v>41548</v>
      </c>
      <c r="N656" s="10">
        <f t="shared" si="63"/>
        <v>10</v>
      </c>
      <c r="O656" s="8" t="str">
        <f t="shared" si="64"/>
        <v>October</v>
      </c>
      <c r="P656" s="7">
        <f t="shared" si="65"/>
        <v>2013</v>
      </c>
    </row>
    <row r="657" spans="1:16" ht="15.75" customHeight="1" x14ac:dyDescent="0.3">
      <c r="A657" s="11" t="s">
        <v>27</v>
      </c>
      <c r="B657" s="11" t="s">
        <v>17</v>
      </c>
      <c r="C657" s="12" t="s">
        <v>31</v>
      </c>
      <c r="D657" s="12" t="s">
        <v>35</v>
      </c>
      <c r="E657" s="11">
        <v>1496</v>
      </c>
      <c r="F657" s="12">
        <v>250</v>
      </c>
      <c r="G657" s="12">
        <v>300</v>
      </c>
      <c r="H657" s="8">
        <f t="shared" si="60"/>
        <v>822800</v>
      </c>
      <c r="I657" s="12">
        <v>62832</v>
      </c>
      <c r="J657" s="8">
        <f t="shared" si="61"/>
        <v>759968</v>
      </c>
      <c r="K657" s="12">
        <v>374000</v>
      </c>
      <c r="L657" s="8">
        <f t="shared" si="62"/>
        <v>385968</v>
      </c>
      <c r="M657" s="13">
        <v>41913</v>
      </c>
      <c r="N657" s="10">
        <f t="shared" si="63"/>
        <v>10</v>
      </c>
      <c r="O657" s="8" t="str">
        <f t="shared" si="64"/>
        <v>October</v>
      </c>
      <c r="P657" s="7">
        <f t="shared" si="65"/>
        <v>2014</v>
      </c>
    </row>
    <row r="658" spans="1:16" ht="15.75" customHeight="1" x14ac:dyDescent="0.3">
      <c r="A658" s="7" t="s">
        <v>27</v>
      </c>
      <c r="B658" s="7" t="s">
        <v>28</v>
      </c>
      <c r="C658" s="8" t="s">
        <v>31</v>
      </c>
      <c r="D658" s="8" t="s">
        <v>35</v>
      </c>
      <c r="E658" s="7">
        <v>1010</v>
      </c>
      <c r="F658" s="8">
        <v>250</v>
      </c>
      <c r="G658" s="8">
        <v>300</v>
      </c>
      <c r="H658" s="8">
        <f t="shared" si="60"/>
        <v>555500</v>
      </c>
      <c r="I658" s="8">
        <v>42420</v>
      </c>
      <c r="J658" s="8">
        <f t="shared" si="61"/>
        <v>513080</v>
      </c>
      <c r="K658" s="8">
        <v>252500</v>
      </c>
      <c r="L658" s="8">
        <f t="shared" si="62"/>
        <v>260580</v>
      </c>
      <c r="M658" s="9">
        <v>41913</v>
      </c>
      <c r="N658" s="10">
        <f t="shared" si="63"/>
        <v>10</v>
      </c>
      <c r="O658" s="8" t="str">
        <f t="shared" si="64"/>
        <v>October</v>
      </c>
      <c r="P658" s="7">
        <f t="shared" si="65"/>
        <v>2014</v>
      </c>
    </row>
    <row r="659" spans="1:16" ht="15.75" customHeight="1" x14ac:dyDescent="0.3">
      <c r="A659" s="11" t="s">
        <v>16</v>
      </c>
      <c r="B659" s="11" t="s">
        <v>22</v>
      </c>
      <c r="C659" s="12" t="s">
        <v>31</v>
      </c>
      <c r="D659" s="12" t="s">
        <v>35</v>
      </c>
      <c r="E659" s="11">
        <v>1281</v>
      </c>
      <c r="F659" s="12">
        <v>250</v>
      </c>
      <c r="G659" s="12">
        <v>350</v>
      </c>
      <c r="H659" s="8">
        <f t="shared" si="60"/>
        <v>768600</v>
      </c>
      <c r="I659" s="12">
        <v>62769</v>
      </c>
      <c r="J659" s="8">
        <f t="shared" si="61"/>
        <v>705831</v>
      </c>
      <c r="K659" s="12">
        <v>333060</v>
      </c>
      <c r="L659" s="8">
        <f t="shared" si="62"/>
        <v>372771</v>
      </c>
      <c r="M659" s="13">
        <v>41609</v>
      </c>
      <c r="N659" s="10">
        <f t="shared" si="63"/>
        <v>12</v>
      </c>
      <c r="O659" s="8" t="str">
        <f t="shared" si="64"/>
        <v>December</v>
      </c>
      <c r="P659" s="7">
        <f t="shared" si="65"/>
        <v>2013</v>
      </c>
    </row>
    <row r="660" spans="1:16" ht="15.75" customHeight="1" x14ac:dyDescent="0.3">
      <c r="A660" s="7" t="s">
        <v>27</v>
      </c>
      <c r="B660" s="7" t="s">
        <v>17</v>
      </c>
      <c r="C660" s="8" t="s">
        <v>32</v>
      </c>
      <c r="D660" s="8" t="s">
        <v>35</v>
      </c>
      <c r="E660" s="7">
        <v>888</v>
      </c>
      <c r="F660" s="8">
        <v>260</v>
      </c>
      <c r="G660" s="8">
        <v>300</v>
      </c>
      <c r="H660" s="8">
        <f t="shared" si="60"/>
        <v>497280</v>
      </c>
      <c r="I660" s="8">
        <v>37296</v>
      </c>
      <c r="J660" s="8">
        <f t="shared" si="61"/>
        <v>459984</v>
      </c>
      <c r="K660" s="8">
        <v>222000</v>
      </c>
      <c r="L660" s="8">
        <f t="shared" si="62"/>
        <v>237984</v>
      </c>
      <c r="M660" s="9">
        <v>41699</v>
      </c>
      <c r="N660" s="10">
        <f t="shared" si="63"/>
        <v>3</v>
      </c>
      <c r="O660" s="8" t="str">
        <f t="shared" si="64"/>
        <v>March</v>
      </c>
      <c r="P660" s="7">
        <f t="shared" si="65"/>
        <v>2014</v>
      </c>
    </row>
    <row r="661" spans="1:16" ht="15.75" customHeight="1" x14ac:dyDescent="0.3">
      <c r="A661" s="11" t="s">
        <v>26</v>
      </c>
      <c r="B661" s="11" t="s">
        <v>28</v>
      </c>
      <c r="C661" s="12" t="s">
        <v>32</v>
      </c>
      <c r="D661" s="12" t="s">
        <v>35</v>
      </c>
      <c r="E661" s="11">
        <v>2844</v>
      </c>
      <c r="F661" s="12">
        <v>260</v>
      </c>
      <c r="G661" s="12">
        <v>125</v>
      </c>
      <c r="H661" s="8">
        <f t="shared" si="60"/>
        <v>1094940</v>
      </c>
      <c r="I661" s="12">
        <v>49770</v>
      </c>
      <c r="J661" s="8">
        <f t="shared" si="61"/>
        <v>1045170</v>
      </c>
      <c r="K661" s="12">
        <v>341280</v>
      </c>
      <c r="L661" s="8">
        <f t="shared" si="62"/>
        <v>703890</v>
      </c>
      <c r="M661" s="13">
        <v>41760</v>
      </c>
      <c r="N661" s="10">
        <f t="shared" si="63"/>
        <v>5</v>
      </c>
      <c r="O661" s="8" t="str">
        <f t="shared" si="64"/>
        <v>May</v>
      </c>
      <c r="P661" s="7">
        <f t="shared" si="65"/>
        <v>2014</v>
      </c>
    </row>
    <row r="662" spans="1:16" ht="15.75" customHeight="1" x14ac:dyDescent="0.3">
      <c r="A662" s="7" t="s">
        <v>25</v>
      </c>
      <c r="B662" s="7" t="s">
        <v>22</v>
      </c>
      <c r="C662" s="8" t="s">
        <v>32</v>
      </c>
      <c r="D662" s="8" t="s">
        <v>35</v>
      </c>
      <c r="E662" s="7">
        <v>2475</v>
      </c>
      <c r="F662" s="8">
        <v>260</v>
      </c>
      <c r="G662" s="8">
        <v>12</v>
      </c>
      <c r="H662" s="8">
        <f t="shared" si="60"/>
        <v>673200</v>
      </c>
      <c r="I662" s="8">
        <v>4158</v>
      </c>
      <c r="J662" s="8">
        <f t="shared" si="61"/>
        <v>669042</v>
      </c>
      <c r="K662" s="8">
        <v>7425</v>
      </c>
      <c r="L662" s="8">
        <f t="shared" si="62"/>
        <v>661617</v>
      </c>
      <c r="M662" s="9">
        <v>41852</v>
      </c>
      <c r="N662" s="10">
        <f t="shared" si="63"/>
        <v>8</v>
      </c>
      <c r="O662" s="8" t="str">
        <f t="shared" si="64"/>
        <v>August</v>
      </c>
      <c r="P662" s="7">
        <f t="shared" si="65"/>
        <v>2014</v>
      </c>
    </row>
    <row r="663" spans="1:16" ht="15.75" customHeight="1" x14ac:dyDescent="0.3">
      <c r="A663" s="11" t="s">
        <v>21</v>
      </c>
      <c r="B663" s="11" t="s">
        <v>17</v>
      </c>
      <c r="C663" s="12" t="s">
        <v>32</v>
      </c>
      <c r="D663" s="12" t="s">
        <v>35</v>
      </c>
      <c r="E663" s="11">
        <v>1743</v>
      </c>
      <c r="F663" s="12">
        <v>260</v>
      </c>
      <c r="G663" s="12">
        <v>15</v>
      </c>
      <c r="H663" s="8">
        <f t="shared" si="60"/>
        <v>479325</v>
      </c>
      <c r="I663" s="12">
        <v>3660.3</v>
      </c>
      <c r="J663" s="8">
        <f t="shared" si="61"/>
        <v>475664.7</v>
      </c>
      <c r="K663" s="12">
        <v>17430</v>
      </c>
      <c r="L663" s="8">
        <f t="shared" si="62"/>
        <v>458234.7</v>
      </c>
      <c r="M663" s="13">
        <v>41548</v>
      </c>
      <c r="N663" s="10">
        <f t="shared" si="63"/>
        <v>10</v>
      </c>
      <c r="O663" s="8" t="str">
        <f t="shared" si="64"/>
        <v>October</v>
      </c>
      <c r="P663" s="7">
        <f t="shared" si="65"/>
        <v>2013</v>
      </c>
    </row>
    <row r="664" spans="1:16" ht="15.75" customHeight="1" x14ac:dyDescent="0.3">
      <c r="A664" s="7" t="s">
        <v>25</v>
      </c>
      <c r="B664" s="7" t="s">
        <v>28</v>
      </c>
      <c r="C664" s="8" t="s">
        <v>32</v>
      </c>
      <c r="D664" s="8" t="s">
        <v>35</v>
      </c>
      <c r="E664" s="7">
        <v>2914</v>
      </c>
      <c r="F664" s="8">
        <v>260</v>
      </c>
      <c r="G664" s="8">
        <v>12</v>
      </c>
      <c r="H664" s="8">
        <f t="shared" si="60"/>
        <v>792608</v>
      </c>
      <c r="I664" s="8">
        <v>4895.5200000000004</v>
      </c>
      <c r="J664" s="8">
        <f t="shared" si="61"/>
        <v>787712.48</v>
      </c>
      <c r="K664" s="8">
        <v>8742</v>
      </c>
      <c r="L664" s="8">
        <f t="shared" si="62"/>
        <v>778970.48</v>
      </c>
      <c r="M664" s="9">
        <v>41913</v>
      </c>
      <c r="N664" s="10">
        <f t="shared" si="63"/>
        <v>10</v>
      </c>
      <c r="O664" s="8" t="str">
        <f t="shared" si="64"/>
        <v>October</v>
      </c>
      <c r="P664" s="7">
        <f t="shared" si="65"/>
        <v>2014</v>
      </c>
    </row>
    <row r="665" spans="1:16" ht="15.75" customHeight="1" x14ac:dyDescent="0.3">
      <c r="A665" s="11" t="s">
        <v>16</v>
      </c>
      <c r="B665" s="11" t="s">
        <v>22</v>
      </c>
      <c r="C665" s="12" t="s">
        <v>32</v>
      </c>
      <c r="D665" s="12" t="s">
        <v>35</v>
      </c>
      <c r="E665" s="11">
        <v>1731</v>
      </c>
      <c r="F665" s="12">
        <v>260</v>
      </c>
      <c r="G665" s="12">
        <v>7</v>
      </c>
      <c r="H665" s="8">
        <f t="shared" si="60"/>
        <v>462177</v>
      </c>
      <c r="I665" s="12">
        <v>1696.38</v>
      </c>
      <c r="J665" s="8">
        <f t="shared" si="61"/>
        <v>460480.62</v>
      </c>
      <c r="K665" s="12">
        <v>8655</v>
      </c>
      <c r="L665" s="8">
        <f t="shared" si="62"/>
        <v>451825.62</v>
      </c>
      <c r="M665" s="13">
        <v>41913</v>
      </c>
      <c r="N665" s="10">
        <f t="shared" si="63"/>
        <v>10</v>
      </c>
      <c r="O665" s="8" t="str">
        <f t="shared" si="64"/>
        <v>October</v>
      </c>
      <c r="P665" s="7">
        <f t="shared" si="65"/>
        <v>2014</v>
      </c>
    </row>
    <row r="666" spans="1:16" ht="15.75" customHeight="1" x14ac:dyDescent="0.3">
      <c r="A666" s="7" t="s">
        <v>16</v>
      </c>
      <c r="B666" s="7" t="s">
        <v>23</v>
      </c>
      <c r="C666" s="8" t="s">
        <v>32</v>
      </c>
      <c r="D666" s="8" t="s">
        <v>35</v>
      </c>
      <c r="E666" s="7">
        <v>1727</v>
      </c>
      <c r="F666" s="8">
        <v>260</v>
      </c>
      <c r="G666" s="8">
        <v>7</v>
      </c>
      <c r="H666" s="8">
        <f t="shared" si="60"/>
        <v>461109</v>
      </c>
      <c r="I666" s="8">
        <v>1692.46</v>
      </c>
      <c r="J666" s="8">
        <f t="shared" si="61"/>
        <v>459416.54</v>
      </c>
      <c r="K666" s="8">
        <v>8635</v>
      </c>
      <c r="L666" s="8">
        <f t="shared" si="62"/>
        <v>450781.54</v>
      </c>
      <c r="M666" s="9">
        <v>41548</v>
      </c>
      <c r="N666" s="10">
        <f t="shared" si="63"/>
        <v>10</v>
      </c>
      <c r="O666" s="8" t="str">
        <f t="shared" si="64"/>
        <v>October</v>
      </c>
      <c r="P666" s="7">
        <f t="shared" si="65"/>
        <v>2013</v>
      </c>
    </row>
    <row r="667" spans="1:16" ht="15.75" customHeight="1" x14ac:dyDescent="0.3">
      <c r="A667" s="11" t="s">
        <v>21</v>
      </c>
      <c r="B667" s="11" t="s">
        <v>23</v>
      </c>
      <c r="C667" s="12" t="s">
        <v>32</v>
      </c>
      <c r="D667" s="12" t="s">
        <v>35</v>
      </c>
      <c r="E667" s="11">
        <v>1870</v>
      </c>
      <c r="F667" s="12">
        <v>260</v>
      </c>
      <c r="G667" s="12">
        <v>15</v>
      </c>
      <c r="H667" s="8">
        <f t="shared" si="60"/>
        <v>514250</v>
      </c>
      <c r="I667" s="12">
        <v>3927</v>
      </c>
      <c r="J667" s="8">
        <f t="shared" si="61"/>
        <v>510323</v>
      </c>
      <c r="K667" s="12">
        <v>18700</v>
      </c>
      <c r="L667" s="8">
        <f t="shared" si="62"/>
        <v>491623</v>
      </c>
      <c r="M667" s="13">
        <v>41579</v>
      </c>
      <c r="N667" s="10">
        <f t="shared" si="63"/>
        <v>11</v>
      </c>
      <c r="O667" s="8" t="str">
        <f t="shared" si="64"/>
        <v>November</v>
      </c>
      <c r="P667" s="7">
        <f t="shared" si="65"/>
        <v>2013</v>
      </c>
    </row>
    <row r="668" spans="1:16" ht="15.75" customHeight="1" x14ac:dyDescent="0.3">
      <c r="A668" s="7" t="s">
        <v>26</v>
      </c>
      <c r="B668" s="7" t="s">
        <v>22</v>
      </c>
      <c r="C668" s="8" t="s">
        <v>18</v>
      </c>
      <c r="D668" s="8" t="s">
        <v>35</v>
      </c>
      <c r="E668" s="7">
        <v>1174</v>
      </c>
      <c r="F668" s="8">
        <v>3</v>
      </c>
      <c r="G668" s="8">
        <v>125</v>
      </c>
      <c r="H668" s="8">
        <f t="shared" si="60"/>
        <v>150272</v>
      </c>
      <c r="I668" s="8">
        <v>22012.5</v>
      </c>
      <c r="J668" s="8">
        <f t="shared" si="61"/>
        <v>128259.5</v>
      </c>
      <c r="K668" s="8">
        <v>140880</v>
      </c>
      <c r="L668" s="8">
        <f t="shared" si="62"/>
        <v>-12620.5</v>
      </c>
      <c r="M668" s="9">
        <v>41852</v>
      </c>
      <c r="N668" s="10">
        <f t="shared" si="63"/>
        <v>8</v>
      </c>
      <c r="O668" s="8" t="str">
        <f t="shared" si="64"/>
        <v>August</v>
      </c>
      <c r="P668" s="7">
        <f t="shared" si="65"/>
        <v>2014</v>
      </c>
    </row>
    <row r="669" spans="1:16" ht="15.75" customHeight="1" x14ac:dyDescent="0.3">
      <c r="A669" s="11" t="s">
        <v>26</v>
      </c>
      <c r="B669" s="11" t="s">
        <v>20</v>
      </c>
      <c r="C669" s="12" t="s">
        <v>18</v>
      </c>
      <c r="D669" s="12" t="s">
        <v>35</v>
      </c>
      <c r="E669" s="11">
        <v>2767</v>
      </c>
      <c r="F669" s="12">
        <v>3</v>
      </c>
      <c r="G669" s="12">
        <v>125</v>
      </c>
      <c r="H669" s="8">
        <f t="shared" si="60"/>
        <v>354176</v>
      </c>
      <c r="I669" s="12">
        <v>51881.25</v>
      </c>
      <c r="J669" s="8">
        <f t="shared" si="61"/>
        <v>302294.75</v>
      </c>
      <c r="K669" s="12">
        <v>332040</v>
      </c>
      <c r="L669" s="8">
        <f t="shared" si="62"/>
        <v>-29745.25</v>
      </c>
      <c r="M669" s="13">
        <v>41852</v>
      </c>
      <c r="N669" s="10">
        <f t="shared" si="63"/>
        <v>8</v>
      </c>
      <c r="O669" s="8" t="str">
        <f t="shared" si="64"/>
        <v>August</v>
      </c>
      <c r="P669" s="7">
        <f t="shared" si="65"/>
        <v>2014</v>
      </c>
    </row>
    <row r="670" spans="1:16" ht="15.75" customHeight="1" x14ac:dyDescent="0.3">
      <c r="A670" s="7" t="s">
        <v>26</v>
      </c>
      <c r="B670" s="7" t="s">
        <v>20</v>
      </c>
      <c r="C670" s="8" t="s">
        <v>18</v>
      </c>
      <c r="D670" s="8" t="s">
        <v>35</v>
      </c>
      <c r="E670" s="7">
        <v>1085</v>
      </c>
      <c r="F670" s="8">
        <v>3</v>
      </c>
      <c r="G670" s="8">
        <v>125</v>
      </c>
      <c r="H670" s="8">
        <f t="shared" si="60"/>
        <v>138880</v>
      </c>
      <c r="I670" s="8">
        <v>20343.75</v>
      </c>
      <c r="J670" s="8">
        <f t="shared" si="61"/>
        <v>118536.25</v>
      </c>
      <c r="K670" s="8">
        <v>130200</v>
      </c>
      <c r="L670" s="8">
        <f t="shared" si="62"/>
        <v>-11663.75</v>
      </c>
      <c r="M670" s="9">
        <v>41913</v>
      </c>
      <c r="N670" s="10">
        <f t="shared" si="63"/>
        <v>10</v>
      </c>
      <c r="O670" s="8" t="str">
        <f t="shared" si="64"/>
        <v>October</v>
      </c>
      <c r="P670" s="7">
        <f t="shared" si="65"/>
        <v>2014</v>
      </c>
    </row>
    <row r="671" spans="1:16" ht="15.75" customHeight="1" x14ac:dyDescent="0.3">
      <c r="A671" s="11" t="s">
        <v>27</v>
      </c>
      <c r="B671" s="11" t="s">
        <v>23</v>
      </c>
      <c r="C671" s="12" t="s">
        <v>24</v>
      </c>
      <c r="D671" s="12" t="s">
        <v>35</v>
      </c>
      <c r="E671" s="11">
        <v>546</v>
      </c>
      <c r="F671" s="12">
        <v>5</v>
      </c>
      <c r="G671" s="12">
        <v>300</v>
      </c>
      <c r="H671" s="8">
        <f t="shared" si="60"/>
        <v>166530</v>
      </c>
      <c r="I671" s="12">
        <v>24570</v>
      </c>
      <c r="J671" s="8">
        <f t="shared" si="61"/>
        <v>141960</v>
      </c>
      <c r="K671" s="12">
        <v>136500</v>
      </c>
      <c r="L671" s="8">
        <f t="shared" si="62"/>
        <v>5460</v>
      </c>
      <c r="M671" s="13">
        <v>41913</v>
      </c>
      <c r="N671" s="10">
        <f t="shared" si="63"/>
        <v>10</v>
      </c>
      <c r="O671" s="8" t="str">
        <f t="shared" si="64"/>
        <v>October</v>
      </c>
      <c r="P671" s="7">
        <f t="shared" si="65"/>
        <v>2014</v>
      </c>
    </row>
    <row r="672" spans="1:16" ht="15.75" customHeight="1" x14ac:dyDescent="0.3">
      <c r="A672" s="7" t="s">
        <v>16</v>
      </c>
      <c r="B672" s="7" t="s">
        <v>20</v>
      </c>
      <c r="C672" s="8" t="s">
        <v>29</v>
      </c>
      <c r="D672" s="8" t="s">
        <v>35</v>
      </c>
      <c r="E672" s="7">
        <v>1158</v>
      </c>
      <c r="F672" s="8">
        <v>10</v>
      </c>
      <c r="G672" s="8">
        <v>20</v>
      </c>
      <c r="H672" s="8">
        <f t="shared" si="60"/>
        <v>34740</v>
      </c>
      <c r="I672" s="8">
        <v>3474</v>
      </c>
      <c r="J672" s="8">
        <f t="shared" si="61"/>
        <v>31266</v>
      </c>
      <c r="K672" s="8">
        <v>11580</v>
      </c>
      <c r="L672" s="8">
        <f t="shared" si="62"/>
        <v>19686</v>
      </c>
      <c r="M672" s="9">
        <v>41699</v>
      </c>
      <c r="N672" s="10">
        <f t="shared" si="63"/>
        <v>3</v>
      </c>
      <c r="O672" s="8" t="str">
        <f t="shared" si="64"/>
        <v>March</v>
      </c>
      <c r="P672" s="7">
        <f t="shared" si="65"/>
        <v>2014</v>
      </c>
    </row>
    <row r="673" spans="1:16" ht="15.75" customHeight="1" x14ac:dyDescent="0.3">
      <c r="A673" s="11" t="s">
        <v>21</v>
      </c>
      <c r="B673" s="11" t="s">
        <v>17</v>
      </c>
      <c r="C673" s="12" t="s">
        <v>29</v>
      </c>
      <c r="D673" s="12" t="s">
        <v>35</v>
      </c>
      <c r="E673" s="11">
        <v>1614</v>
      </c>
      <c r="F673" s="12">
        <v>10</v>
      </c>
      <c r="G673" s="12">
        <v>15</v>
      </c>
      <c r="H673" s="8">
        <f t="shared" si="60"/>
        <v>40350</v>
      </c>
      <c r="I673" s="12">
        <v>3631.5</v>
      </c>
      <c r="J673" s="8">
        <f t="shared" si="61"/>
        <v>36718.5</v>
      </c>
      <c r="K673" s="12">
        <v>16140</v>
      </c>
      <c r="L673" s="8">
        <f t="shared" si="62"/>
        <v>20578.5</v>
      </c>
      <c r="M673" s="13">
        <v>41730</v>
      </c>
      <c r="N673" s="10">
        <f t="shared" si="63"/>
        <v>4</v>
      </c>
      <c r="O673" s="8" t="str">
        <f t="shared" si="64"/>
        <v>April</v>
      </c>
      <c r="P673" s="7">
        <f t="shared" si="65"/>
        <v>2014</v>
      </c>
    </row>
    <row r="674" spans="1:16" ht="15.75" customHeight="1" x14ac:dyDescent="0.3">
      <c r="A674" s="7" t="s">
        <v>16</v>
      </c>
      <c r="B674" s="7" t="s">
        <v>23</v>
      </c>
      <c r="C674" s="8" t="s">
        <v>29</v>
      </c>
      <c r="D674" s="8" t="s">
        <v>35</v>
      </c>
      <c r="E674" s="7">
        <v>2535</v>
      </c>
      <c r="F674" s="8">
        <v>10</v>
      </c>
      <c r="G674" s="8">
        <v>7</v>
      </c>
      <c r="H674" s="8">
        <f t="shared" si="60"/>
        <v>43095</v>
      </c>
      <c r="I674" s="8">
        <v>2661.75</v>
      </c>
      <c r="J674" s="8">
        <f t="shared" si="61"/>
        <v>40433.25</v>
      </c>
      <c r="K674" s="8">
        <v>12675</v>
      </c>
      <c r="L674" s="8">
        <f t="shared" si="62"/>
        <v>27758.25</v>
      </c>
      <c r="M674" s="9">
        <v>41730</v>
      </c>
      <c r="N674" s="10">
        <f t="shared" si="63"/>
        <v>4</v>
      </c>
      <c r="O674" s="8" t="str">
        <f t="shared" si="64"/>
        <v>April</v>
      </c>
      <c r="P674" s="7">
        <f t="shared" si="65"/>
        <v>2014</v>
      </c>
    </row>
    <row r="675" spans="1:16" ht="15.75" customHeight="1" x14ac:dyDescent="0.3">
      <c r="A675" s="11" t="s">
        <v>16</v>
      </c>
      <c r="B675" s="11" t="s">
        <v>23</v>
      </c>
      <c r="C675" s="12" t="s">
        <v>29</v>
      </c>
      <c r="D675" s="12" t="s">
        <v>35</v>
      </c>
      <c r="E675" s="11">
        <v>2851</v>
      </c>
      <c r="F675" s="12">
        <v>10</v>
      </c>
      <c r="G675" s="12">
        <v>350</v>
      </c>
      <c r="H675" s="8">
        <f t="shared" si="60"/>
        <v>1026360</v>
      </c>
      <c r="I675" s="12">
        <v>149677.5</v>
      </c>
      <c r="J675" s="8">
        <f t="shared" si="61"/>
        <v>876682.5</v>
      </c>
      <c r="K675" s="12">
        <v>741260</v>
      </c>
      <c r="L675" s="8">
        <f t="shared" si="62"/>
        <v>135422.5</v>
      </c>
      <c r="M675" s="13">
        <v>41760</v>
      </c>
      <c r="N675" s="10">
        <f t="shared" si="63"/>
        <v>5</v>
      </c>
      <c r="O675" s="8" t="str">
        <f t="shared" si="64"/>
        <v>May</v>
      </c>
      <c r="P675" s="7">
        <f t="shared" si="65"/>
        <v>2014</v>
      </c>
    </row>
    <row r="676" spans="1:16" ht="15.75" customHeight="1" x14ac:dyDescent="0.3">
      <c r="A676" s="7" t="s">
        <v>21</v>
      </c>
      <c r="B676" s="7" t="s">
        <v>17</v>
      </c>
      <c r="C676" s="8" t="s">
        <v>29</v>
      </c>
      <c r="D676" s="8" t="s">
        <v>35</v>
      </c>
      <c r="E676" s="7">
        <v>2559</v>
      </c>
      <c r="F676" s="8">
        <v>10</v>
      </c>
      <c r="G676" s="8">
        <v>15</v>
      </c>
      <c r="H676" s="8">
        <f t="shared" si="60"/>
        <v>63975</v>
      </c>
      <c r="I676" s="8">
        <v>5757.75</v>
      </c>
      <c r="J676" s="8">
        <f t="shared" si="61"/>
        <v>58217.25</v>
      </c>
      <c r="K676" s="8">
        <v>25590</v>
      </c>
      <c r="L676" s="8">
        <f t="shared" si="62"/>
        <v>32627.25</v>
      </c>
      <c r="M676" s="9">
        <v>41852</v>
      </c>
      <c r="N676" s="10">
        <f t="shared" si="63"/>
        <v>8</v>
      </c>
      <c r="O676" s="8" t="str">
        <f t="shared" si="64"/>
        <v>August</v>
      </c>
      <c r="P676" s="7">
        <f t="shared" si="65"/>
        <v>2014</v>
      </c>
    </row>
    <row r="677" spans="1:16" ht="15.75" customHeight="1" x14ac:dyDescent="0.3">
      <c r="A677" s="11" t="s">
        <v>16</v>
      </c>
      <c r="B677" s="11" t="s">
        <v>28</v>
      </c>
      <c r="C677" s="12" t="s">
        <v>29</v>
      </c>
      <c r="D677" s="12" t="s">
        <v>35</v>
      </c>
      <c r="E677" s="11">
        <v>267</v>
      </c>
      <c r="F677" s="12">
        <v>10</v>
      </c>
      <c r="G677" s="12">
        <v>20</v>
      </c>
      <c r="H677" s="8">
        <f t="shared" si="60"/>
        <v>8010</v>
      </c>
      <c r="I677" s="12">
        <v>801</v>
      </c>
      <c r="J677" s="8">
        <f t="shared" si="61"/>
        <v>7209</v>
      </c>
      <c r="K677" s="12">
        <v>2670</v>
      </c>
      <c r="L677" s="8">
        <f t="shared" si="62"/>
        <v>4539</v>
      </c>
      <c r="M677" s="13">
        <v>41548</v>
      </c>
      <c r="N677" s="10">
        <f t="shared" si="63"/>
        <v>10</v>
      </c>
      <c r="O677" s="8" t="str">
        <f t="shared" si="64"/>
        <v>October</v>
      </c>
      <c r="P677" s="7">
        <f t="shared" si="65"/>
        <v>2013</v>
      </c>
    </row>
    <row r="678" spans="1:16" ht="15.75" customHeight="1" x14ac:dyDescent="0.3">
      <c r="A678" s="7" t="s">
        <v>26</v>
      </c>
      <c r="B678" s="7" t="s">
        <v>20</v>
      </c>
      <c r="C678" s="8" t="s">
        <v>29</v>
      </c>
      <c r="D678" s="8" t="s">
        <v>35</v>
      </c>
      <c r="E678" s="7">
        <v>1085</v>
      </c>
      <c r="F678" s="8">
        <v>10</v>
      </c>
      <c r="G678" s="8">
        <v>125</v>
      </c>
      <c r="H678" s="8">
        <f t="shared" si="60"/>
        <v>146475</v>
      </c>
      <c r="I678" s="8">
        <v>20343.75</v>
      </c>
      <c r="J678" s="8">
        <f t="shared" si="61"/>
        <v>126131.25</v>
      </c>
      <c r="K678" s="8">
        <v>130200</v>
      </c>
      <c r="L678" s="8">
        <f t="shared" si="62"/>
        <v>-4068.75</v>
      </c>
      <c r="M678" s="9">
        <v>41913</v>
      </c>
      <c r="N678" s="10">
        <f t="shared" si="63"/>
        <v>10</v>
      </c>
      <c r="O678" s="8" t="str">
        <f t="shared" si="64"/>
        <v>October</v>
      </c>
      <c r="P678" s="7">
        <f t="shared" si="65"/>
        <v>2014</v>
      </c>
    </row>
    <row r="679" spans="1:16" ht="15.75" customHeight="1" x14ac:dyDescent="0.3">
      <c r="A679" s="11" t="s">
        <v>21</v>
      </c>
      <c r="B679" s="11" t="s">
        <v>20</v>
      </c>
      <c r="C679" s="12" t="s">
        <v>29</v>
      </c>
      <c r="D679" s="12" t="s">
        <v>35</v>
      </c>
      <c r="E679" s="11">
        <v>1175</v>
      </c>
      <c r="F679" s="12">
        <v>10</v>
      </c>
      <c r="G679" s="12">
        <v>15</v>
      </c>
      <c r="H679" s="8">
        <f t="shared" si="60"/>
        <v>29375</v>
      </c>
      <c r="I679" s="12">
        <v>2643.75</v>
      </c>
      <c r="J679" s="8">
        <f t="shared" si="61"/>
        <v>26731.25</v>
      </c>
      <c r="K679" s="12">
        <v>11750</v>
      </c>
      <c r="L679" s="8">
        <f t="shared" si="62"/>
        <v>14981.25</v>
      </c>
      <c r="M679" s="13">
        <v>41913</v>
      </c>
      <c r="N679" s="10">
        <f t="shared" si="63"/>
        <v>10</v>
      </c>
      <c r="O679" s="8" t="str">
        <f t="shared" si="64"/>
        <v>October</v>
      </c>
      <c r="P679" s="7">
        <f t="shared" si="65"/>
        <v>2014</v>
      </c>
    </row>
    <row r="680" spans="1:16" ht="15.75" customHeight="1" x14ac:dyDescent="0.3">
      <c r="A680" s="7" t="s">
        <v>16</v>
      </c>
      <c r="B680" s="7" t="s">
        <v>28</v>
      </c>
      <c r="C680" s="8" t="s">
        <v>29</v>
      </c>
      <c r="D680" s="8" t="s">
        <v>35</v>
      </c>
      <c r="E680" s="7">
        <v>2007</v>
      </c>
      <c r="F680" s="8">
        <v>10</v>
      </c>
      <c r="G680" s="8">
        <v>350</v>
      </c>
      <c r="H680" s="8">
        <f t="shared" si="60"/>
        <v>722520</v>
      </c>
      <c r="I680" s="8">
        <v>105367.5</v>
      </c>
      <c r="J680" s="8">
        <f t="shared" si="61"/>
        <v>617152.5</v>
      </c>
      <c r="K680" s="8">
        <v>521820</v>
      </c>
      <c r="L680" s="8">
        <f t="shared" si="62"/>
        <v>95332.5</v>
      </c>
      <c r="M680" s="9">
        <v>41579</v>
      </c>
      <c r="N680" s="10">
        <f t="shared" si="63"/>
        <v>11</v>
      </c>
      <c r="O680" s="8" t="str">
        <f t="shared" si="64"/>
        <v>November</v>
      </c>
      <c r="P680" s="7">
        <f t="shared" si="65"/>
        <v>2013</v>
      </c>
    </row>
    <row r="681" spans="1:16" ht="15.75" customHeight="1" x14ac:dyDescent="0.3">
      <c r="A681" s="11" t="s">
        <v>16</v>
      </c>
      <c r="B681" s="11" t="s">
        <v>23</v>
      </c>
      <c r="C681" s="12" t="s">
        <v>29</v>
      </c>
      <c r="D681" s="12" t="s">
        <v>35</v>
      </c>
      <c r="E681" s="11">
        <v>2151</v>
      </c>
      <c r="F681" s="12">
        <v>10</v>
      </c>
      <c r="G681" s="12">
        <v>350</v>
      </c>
      <c r="H681" s="8">
        <f t="shared" si="60"/>
        <v>774360</v>
      </c>
      <c r="I681" s="12">
        <v>112927.5</v>
      </c>
      <c r="J681" s="8">
        <f t="shared" si="61"/>
        <v>661432.5</v>
      </c>
      <c r="K681" s="12">
        <v>559260</v>
      </c>
      <c r="L681" s="8">
        <f t="shared" si="62"/>
        <v>102172.5</v>
      </c>
      <c r="M681" s="13">
        <v>41579</v>
      </c>
      <c r="N681" s="10">
        <f t="shared" si="63"/>
        <v>11</v>
      </c>
      <c r="O681" s="8" t="str">
        <f t="shared" si="64"/>
        <v>November</v>
      </c>
      <c r="P681" s="7">
        <f t="shared" si="65"/>
        <v>2013</v>
      </c>
    </row>
    <row r="682" spans="1:16" ht="15.75" customHeight="1" x14ac:dyDescent="0.3">
      <c r="A682" s="7" t="s">
        <v>25</v>
      </c>
      <c r="B682" s="7" t="s">
        <v>28</v>
      </c>
      <c r="C682" s="8" t="s">
        <v>29</v>
      </c>
      <c r="D682" s="8" t="s">
        <v>35</v>
      </c>
      <c r="E682" s="7">
        <v>914</v>
      </c>
      <c r="F682" s="8">
        <v>10</v>
      </c>
      <c r="G682" s="8">
        <v>12</v>
      </c>
      <c r="H682" s="8">
        <f t="shared" si="60"/>
        <v>20108</v>
      </c>
      <c r="I682" s="8">
        <v>1645.2</v>
      </c>
      <c r="J682" s="8">
        <f t="shared" si="61"/>
        <v>18462.8</v>
      </c>
      <c r="K682" s="8">
        <v>2742</v>
      </c>
      <c r="L682" s="8">
        <f t="shared" si="62"/>
        <v>15720.8</v>
      </c>
      <c r="M682" s="9">
        <v>41974</v>
      </c>
      <c r="N682" s="10">
        <f t="shared" si="63"/>
        <v>12</v>
      </c>
      <c r="O682" s="8" t="str">
        <f t="shared" si="64"/>
        <v>December</v>
      </c>
      <c r="P682" s="7">
        <f t="shared" si="65"/>
        <v>2014</v>
      </c>
    </row>
    <row r="683" spans="1:16" ht="15.75" customHeight="1" x14ac:dyDescent="0.3">
      <c r="A683" s="11" t="s">
        <v>16</v>
      </c>
      <c r="B683" s="11" t="s">
        <v>22</v>
      </c>
      <c r="C683" s="12" t="s">
        <v>29</v>
      </c>
      <c r="D683" s="12" t="s">
        <v>35</v>
      </c>
      <c r="E683" s="11">
        <v>293</v>
      </c>
      <c r="F683" s="12">
        <v>10</v>
      </c>
      <c r="G683" s="12">
        <v>20</v>
      </c>
      <c r="H683" s="8">
        <f t="shared" si="60"/>
        <v>8790</v>
      </c>
      <c r="I683" s="12">
        <v>879</v>
      </c>
      <c r="J683" s="8">
        <f t="shared" si="61"/>
        <v>7911</v>
      </c>
      <c r="K683" s="12">
        <v>2930</v>
      </c>
      <c r="L683" s="8">
        <f t="shared" si="62"/>
        <v>4981</v>
      </c>
      <c r="M683" s="13">
        <v>41974</v>
      </c>
      <c r="N683" s="10">
        <f t="shared" si="63"/>
        <v>12</v>
      </c>
      <c r="O683" s="8" t="str">
        <f t="shared" si="64"/>
        <v>December</v>
      </c>
      <c r="P683" s="7">
        <f t="shared" si="65"/>
        <v>2014</v>
      </c>
    </row>
    <row r="684" spans="1:16" ht="15.75" customHeight="1" x14ac:dyDescent="0.3">
      <c r="A684" s="7" t="s">
        <v>25</v>
      </c>
      <c r="B684" s="7" t="s">
        <v>23</v>
      </c>
      <c r="C684" s="8" t="s">
        <v>30</v>
      </c>
      <c r="D684" s="8" t="s">
        <v>35</v>
      </c>
      <c r="E684" s="7">
        <v>500</v>
      </c>
      <c r="F684" s="8">
        <v>120</v>
      </c>
      <c r="G684" s="8">
        <v>12</v>
      </c>
      <c r="H684" s="8">
        <f t="shared" si="60"/>
        <v>66000</v>
      </c>
      <c r="I684" s="8">
        <v>900</v>
      </c>
      <c r="J684" s="8">
        <f t="shared" si="61"/>
        <v>65100</v>
      </c>
      <c r="K684" s="8">
        <v>1500</v>
      </c>
      <c r="L684" s="8">
        <f t="shared" si="62"/>
        <v>63600</v>
      </c>
      <c r="M684" s="9">
        <v>41699</v>
      </c>
      <c r="N684" s="10">
        <f t="shared" si="63"/>
        <v>3</v>
      </c>
      <c r="O684" s="8" t="str">
        <f t="shared" si="64"/>
        <v>March</v>
      </c>
      <c r="P684" s="7">
        <f t="shared" si="65"/>
        <v>2014</v>
      </c>
    </row>
    <row r="685" spans="1:16" ht="15.75" customHeight="1" x14ac:dyDescent="0.3">
      <c r="A685" s="11" t="s">
        <v>21</v>
      </c>
      <c r="B685" s="11" t="s">
        <v>22</v>
      </c>
      <c r="C685" s="12" t="s">
        <v>30</v>
      </c>
      <c r="D685" s="12" t="s">
        <v>35</v>
      </c>
      <c r="E685" s="11">
        <v>2826</v>
      </c>
      <c r="F685" s="12">
        <v>120</v>
      </c>
      <c r="G685" s="12">
        <v>15</v>
      </c>
      <c r="H685" s="8">
        <f t="shared" si="60"/>
        <v>381510</v>
      </c>
      <c r="I685" s="12">
        <v>6358.5</v>
      </c>
      <c r="J685" s="8">
        <f t="shared" si="61"/>
        <v>375151.5</v>
      </c>
      <c r="K685" s="12">
        <v>28260</v>
      </c>
      <c r="L685" s="8">
        <f t="shared" si="62"/>
        <v>346891.5</v>
      </c>
      <c r="M685" s="13">
        <v>41760</v>
      </c>
      <c r="N685" s="10">
        <f t="shared" si="63"/>
        <v>5</v>
      </c>
      <c r="O685" s="8" t="str">
        <f t="shared" si="64"/>
        <v>May</v>
      </c>
      <c r="P685" s="7">
        <f t="shared" si="65"/>
        <v>2014</v>
      </c>
    </row>
    <row r="686" spans="1:16" ht="15.75" customHeight="1" x14ac:dyDescent="0.3">
      <c r="A686" s="7" t="s">
        <v>26</v>
      </c>
      <c r="B686" s="7" t="s">
        <v>22</v>
      </c>
      <c r="C686" s="8" t="s">
        <v>30</v>
      </c>
      <c r="D686" s="8" t="s">
        <v>35</v>
      </c>
      <c r="E686" s="7">
        <v>663</v>
      </c>
      <c r="F686" s="8">
        <v>120</v>
      </c>
      <c r="G686" s="8">
        <v>125</v>
      </c>
      <c r="H686" s="8">
        <f t="shared" si="60"/>
        <v>162435</v>
      </c>
      <c r="I686" s="8">
        <v>12431.25</v>
      </c>
      <c r="J686" s="8">
        <f t="shared" si="61"/>
        <v>150003.75</v>
      </c>
      <c r="K686" s="8">
        <v>79560</v>
      </c>
      <c r="L686" s="8">
        <f t="shared" si="62"/>
        <v>70443.75</v>
      </c>
      <c r="M686" s="9">
        <v>41883</v>
      </c>
      <c r="N686" s="10">
        <f t="shared" si="63"/>
        <v>9</v>
      </c>
      <c r="O686" s="8" t="str">
        <f t="shared" si="64"/>
        <v>September</v>
      </c>
      <c r="P686" s="7">
        <f t="shared" si="65"/>
        <v>2014</v>
      </c>
    </row>
    <row r="687" spans="1:16" ht="15.75" customHeight="1" x14ac:dyDescent="0.3">
      <c r="A687" s="11" t="s">
        <v>27</v>
      </c>
      <c r="B687" s="11" t="s">
        <v>28</v>
      </c>
      <c r="C687" s="12" t="s">
        <v>30</v>
      </c>
      <c r="D687" s="12" t="s">
        <v>35</v>
      </c>
      <c r="E687" s="11">
        <v>2574</v>
      </c>
      <c r="F687" s="12">
        <v>120</v>
      </c>
      <c r="G687" s="12">
        <v>300</v>
      </c>
      <c r="H687" s="8">
        <f t="shared" si="60"/>
        <v>1081080</v>
      </c>
      <c r="I687" s="12">
        <v>115830</v>
      </c>
      <c r="J687" s="8">
        <f t="shared" si="61"/>
        <v>965250</v>
      </c>
      <c r="K687" s="12">
        <v>643500</v>
      </c>
      <c r="L687" s="8">
        <f t="shared" si="62"/>
        <v>321750</v>
      </c>
      <c r="M687" s="13">
        <v>41579</v>
      </c>
      <c r="N687" s="10">
        <f t="shared" si="63"/>
        <v>11</v>
      </c>
      <c r="O687" s="8" t="str">
        <f t="shared" si="64"/>
        <v>November</v>
      </c>
      <c r="P687" s="7">
        <f t="shared" si="65"/>
        <v>2013</v>
      </c>
    </row>
    <row r="688" spans="1:16" ht="15.75" customHeight="1" x14ac:dyDescent="0.3">
      <c r="A688" s="7" t="s">
        <v>26</v>
      </c>
      <c r="B688" s="7" t="s">
        <v>28</v>
      </c>
      <c r="C688" s="8" t="s">
        <v>30</v>
      </c>
      <c r="D688" s="8" t="s">
        <v>35</v>
      </c>
      <c r="E688" s="7">
        <v>2438</v>
      </c>
      <c r="F688" s="8">
        <v>120</v>
      </c>
      <c r="G688" s="8">
        <v>125</v>
      </c>
      <c r="H688" s="8">
        <f t="shared" si="60"/>
        <v>597310</v>
      </c>
      <c r="I688" s="8">
        <v>45712.5</v>
      </c>
      <c r="J688" s="8">
        <f t="shared" si="61"/>
        <v>551597.5</v>
      </c>
      <c r="K688" s="8">
        <v>292560</v>
      </c>
      <c r="L688" s="8">
        <f t="shared" si="62"/>
        <v>259037.5</v>
      </c>
      <c r="M688" s="9">
        <v>41609</v>
      </c>
      <c r="N688" s="10">
        <f t="shared" si="63"/>
        <v>12</v>
      </c>
      <c r="O688" s="8" t="str">
        <f t="shared" si="64"/>
        <v>December</v>
      </c>
      <c r="P688" s="7">
        <f t="shared" si="65"/>
        <v>2013</v>
      </c>
    </row>
    <row r="689" spans="1:16" ht="15.75" customHeight="1" x14ac:dyDescent="0.3">
      <c r="A689" s="11" t="s">
        <v>25</v>
      </c>
      <c r="B689" s="11" t="s">
        <v>28</v>
      </c>
      <c r="C689" s="12" t="s">
        <v>30</v>
      </c>
      <c r="D689" s="12" t="s">
        <v>35</v>
      </c>
      <c r="E689" s="11">
        <v>914</v>
      </c>
      <c r="F689" s="12">
        <v>120</v>
      </c>
      <c r="G689" s="12">
        <v>12</v>
      </c>
      <c r="H689" s="8">
        <f t="shared" si="60"/>
        <v>120648</v>
      </c>
      <c r="I689" s="12">
        <v>1645.2</v>
      </c>
      <c r="J689" s="8">
        <f t="shared" si="61"/>
        <v>119002.8</v>
      </c>
      <c r="K689" s="12">
        <v>2742</v>
      </c>
      <c r="L689" s="8">
        <f t="shared" si="62"/>
        <v>116260.8</v>
      </c>
      <c r="M689" s="13">
        <v>41974</v>
      </c>
      <c r="N689" s="10">
        <f t="shared" si="63"/>
        <v>12</v>
      </c>
      <c r="O689" s="8" t="str">
        <f t="shared" si="64"/>
        <v>December</v>
      </c>
      <c r="P689" s="7">
        <f t="shared" si="65"/>
        <v>2014</v>
      </c>
    </row>
    <row r="690" spans="1:16" ht="15.75" customHeight="1" x14ac:dyDescent="0.3">
      <c r="A690" s="7" t="s">
        <v>16</v>
      </c>
      <c r="B690" s="7" t="s">
        <v>17</v>
      </c>
      <c r="C690" s="8" t="s">
        <v>31</v>
      </c>
      <c r="D690" s="8" t="s">
        <v>35</v>
      </c>
      <c r="E690" s="7">
        <v>865.5</v>
      </c>
      <c r="F690" s="8">
        <v>250</v>
      </c>
      <c r="G690" s="8">
        <v>20</v>
      </c>
      <c r="H690" s="8">
        <f t="shared" si="60"/>
        <v>233685</v>
      </c>
      <c r="I690" s="8">
        <v>2596.5</v>
      </c>
      <c r="J690" s="8">
        <f t="shared" si="61"/>
        <v>231088.5</v>
      </c>
      <c r="K690" s="8">
        <v>8655</v>
      </c>
      <c r="L690" s="8">
        <f t="shared" si="62"/>
        <v>222433.5</v>
      </c>
      <c r="M690" s="9">
        <v>41821</v>
      </c>
      <c r="N690" s="10">
        <f t="shared" si="63"/>
        <v>7</v>
      </c>
      <c r="O690" s="8" t="str">
        <f t="shared" si="64"/>
        <v>July</v>
      </c>
      <c r="P690" s="7">
        <f t="shared" si="65"/>
        <v>2014</v>
      </c>
    </row>
    <row r="691" spans="1:16" ht="15.75" customHeight="1" x14ac:dyDescent="0.3">
      <c r="A691" s="11" t="s">
        <v>21</v>
      </c>
      <c r="B691" s="11" t="s">
        <v>20</v>
      </c>
      <c r="C691" s="12" t="s">
        <v>31</v>
      </c>
      <c r="D691" s="12" t="s">
        <v>35</v>
      </c>
      <c r="E691" s="11">
        <v>492</v>
      </c>
      <c r="F691" s="12">
        <v>250</v>
      </c>
      <c r="G691" s="12">
        <v>15</v>
      </c>
      <c r="H691" s="8">
        <f t="shared" si="60"/>
        <v>130380</v>
      </c>
      <c r="I691" s="12">
        <v>1107</v>
      </c>
      <c r="J691" s="8">
        <f t="shared" si="61"/>
        <v>129273</v>
      </c>
      <c r="K691" s="12">
        <v>4920</v>
      </c>
      <c r="L691" s="8">
        <f t="shared" si="62"/>
        <v>124353</v>
      </c>
      <c r="M691" s="13">
        <v>41821</v>
      </c>
      <c r="N691" s="10">
        <f t="shared" si="63"/>
        <v>7</v>
      </c>
      <c r="O691" s="8" t="str">
        <f t="shared" si="64"/>
        <v>July</v>
      </c>
      <c r="P691" s="7">
        <f t="shared" si="65"/>
        <v>2014</v>
      </c>
    </row>
    <row r="692" spans="1:16" ht="15.75" customHeight="1" x14ac:dyDescent="0.3">
      <c r="A692" s="7" t="s">
        <v>16</v>
      </c>
      <c r="B692" s="7" t="s">
        <v>28</v>
      </c>
      <c r="C692" s="8" t="s">
        <v>31</v>
      </c>
      <c r="D692" s="8" t="s">
        <v>35</v>
      </c>
      <c r="E692" s="7">
        <v>267</v>
      </c>
      <c r="F692" s="8">
        <v>250</v>
      </c>
      <c r="G692" s="8">
        <v>20</v>
      </c>
      <c r="H692" s="8">
        <f t="shared" si="60"/>
        <v>72090</v>
      </c>
      <c r="I692" s="8">
        <v>801</v>
      </c>
      <c r="J692" s="8">
        <f t="shared" si="61"/>
        <v>71289</v>
      </c>
      <c r="K692" s="8">
        <v>2670</v>
      </c>
      <c r="L692" s="8">
        <f t="shared" si="62"/>
        <v>68619</v>
      </c>
      <c r="M692" s="9">
        <v>41548</v>
      </c>
      <c r="N692" s="10">
        <f t="shared" si="63"/>
        <v>10</v>
      </c>
      <c r="O692" s="8" t="str">
        <f t="shared" si="64"/>
        <v>October</v>
      </c>
      <c r="P692" s="7">
        <f t="shared" si="65"/>
        <v>2013</v>
      </c>
    </row>
    <row r="693" spans="1:16" ht="15.75" customHeight="1" x14ac:dyDescent="0.3">
      <c r="A693" s="11" t="s">
        <v>21</v>
      </c>
      <c r="B693" s="11" t="s">
        <v>20</v>
      </c>
      <c r="C693" s="12" t="s">
        <v>31</v>
      </c>
      <c r="D693" s="12" t="s">
        <v>35</v>
      </c>
      <c r="E693" s="11">
        <v>1175</v>
      </c>
      <c r="F693" s="12">
        <v>250</v>
      </c>
      <c r="G693" s="12">
        <v>15</v>
      </c>
      <c r="H693" s="8">
        <f t="shared" si="60"/>
        <v>311375</v>
      </c>
      <c r="I693" s="12">
        <v>2643.75</v>
      </c>
      <c r="J693" s="8">
        <f t="shared" si="61"/>
        <v>308731.25</v>
      </c>
      <c r="K693" s="12">
        <v>11750</v>
      </c>
      <c r="L693" s="8">
        <f t="shared" si="62"/>
        <v>296981.25</v>
      </c>
      <c r="M693" s="13">
        <v>41913</v>
      </c>
      <c r="N693" s="10">
        <f t="shared" si="63"/>
        <v>10</v>
      </c>
      <c r="O693" s="8" t="str">
        <f t="shared" si="64"/>
        <v>October</v>
      </c>
      <c r="P693" s="7">
        <f t="shared" si="65"/>
        <v>2014</v>
      </c>
    </row>
    <row r="694" spans="1:16" ht="15.75" customHeight="1" x14ac:dyDescent="0.3">
      <c r="A694" s="7" t="s">
        <v>26</v>
      </c>
      <c r="B694" s="7" t="s">
        <v>17</v>
      </c>
      <c r="C694" s="8" t="s">
        <v>31</v>
      </c>
      <c r="D694" s="8" t="s">
        <v>35</v>
      </c>
      <c r="E694" s="7">
        <v>2954</v>
      </c>
      <c r="F694" s="8">
        <v>250</v>
      </c>
      <c r="G694" s="8">
        <v>125</v>
      </c>
      <c r="H694" s="8">
        <f t="shared" si="60"/>
        <v>1107750</v>
      </c>
      <c r="I694" s="8">
        <v>55387.5</v>
      </c>
      <c r="J694" s="8">
        <f t="shared" si="61"/>
        <v>1052362.5</v>
      </c>
      <c r="K694" s="8">
        <v>354480</v>
      </c>
      <c r="L694" s="8">
        <f t="shared" si="62"/>
        <v>697882.5</v>
      </c>
      <c r="M694" s="9">
        <v>41579</v>
      </c>
      <c r="N694" s="10">
        <f t="shared" si="63"/>
        <v>11</v>
      </c>
      <c r="O694" s="8" t="str">
        <f t="shared" si="64"/>
        <v>November</v>
      </c>
      <c r="P694" s="7">
        <f t="shared" si="65"/>
        <v>2013</v>
      </c>
    </row>
    <row r="695" spans="1:16" ht="15.75" customHeight="1" x14ac:dyDescent="0.3">
      <c r="A695" s="11" t="s">
        <v>26</v>
      </c>
      <c r="B695" s="11" t="s">
        <v>20</v>
      </c>
      <c r="C695" s="12" t="s">
        <v>31</v>
      </c>
      <c r="D695" s="12" t="s">
        <v>35</v>
      </c>
      <c r="E695" s="11">
        <v>552</v>
      </c>
      <c r="F695" s="12">
        <v>250</v>
      </c>
      <c r="G695" s="12">
        <v>125</v>
      </c>
      <c r="H695" s="8">
        <f t="shared" si="60"/>
        <v>207000</v>
      </c>
      <c r="I695" s="12">
        <v>10350</v>
      </c>
      <c r="J695" s="8">
        <f t="shared" si="61"/>
        <v>196650</v>
      </c>
      <c r="K695" s="12">
        <v>66240</v>
      </c>
      <c r="L695" s="8">
        <f t="shared" si="62"/>
        <v>130410</v>
      </c>
      <c r="M695" s="13">
        <v>41944</v>
      </c>
      <c r="N695" s="10">
        <f t="shared" si="63"/>
        <v>11</v>
      </c>
      <c r="O695" s="8" t="str">
        <f t="shared" si="64"/>
        <v>November</v>
      </c>
      <c r="P695" s="7">
        <f t="shared" si="65"/>
        <v>2014</v>
      </c>
    </row>
    <row r="696" spans="1:16" ht="15.75" customHeight="1" x14ac:dyDescent="0.3">
      <c r="A696" s="7" t="s">
        <v>16</v>
      </c>
      <c r="B696" s="7" t="s">
        <v>22</v>
      </c>
      <c r="C696" s="8" t="s">
        <v>31</v>
      </c>
      <c r="D696" s="8" t="s">
        <v>35</v>
      </c>
      <c r="E696" s="7">
        <v>293</v>
      </c>
      <c r="F696" s="8">
        <v>250</v>
      </c>
      <c r="G696" s="8">
        <v>20</v>
      </c>
      <c r="H696" s="8">
        <f t="shared" si="60"/>
        <v>79110</v>
      </c>
      <c r="I696" s="8">
        <v>879</v>
      </c>
      <c r="J696" s="8">
        <f t="shared" si="61"/>
        <v>78231</v>
      </c>
      <c r="K696" s="8">
        <v>2930</v>
      </c>
      <c r="L696" s="8">
        <f t="shared" si="62"/>
        <v>75301</v>
      </c>
      <c r="M696" s="9">
        <v>41974</v>
      </c>
      <c r="N696" s="10">
        <f t="shared" si="63"/>
        <v>12</v>
      </c>
      <c r="O696" s="8" t="str">
        <f t="shared" si="64"/>
        <v>December</v>
      </c>
      <c r="P696" s="7">
        <f t="shared" si="65"/>
        <v>2014</v>
      </c>
    </row>
    <row r="697" spans="1:16" ht="15.75" customHeight="1" x14ac:dyDescent="0.3">
      <c r="A697" s="11" t="s">
        <v>27</v>
      </c>
      <c r="B697" s="11" t="s">
        <v>22</v>
      </c>
      <c r="C697" s="12" t="s">
        <v>32</v>
      </c>
      <c r="D697" s="12" t="s">
        <v>35</v>
      </c>
      <c r="E697" s="11">
        <v>2475</v>
      </c>
      <c r="F697" s="12">
        <v>260</v>
      </c>
      <c r="G697" s="12">
        <v>300</v>
      </c>
      <c r="H697" s="8">
        <f t="shared" si="60"/>
        <v>1386000</v>
      </c>
      <c r="I697" s="12">
        <v>111375</v>
      </c>
      <c r="J697" s="8">
        <f t="shared" si="61"/>
        <v>1274625</v>
      </c>
      <c r="K697" s="12">
        <v>618750</v>
      </c>
      <c r="L697" s="8">
        <f t="shared" si="62"/>
        <v>655875</v>
      </c>
      <c r="M697" s="13">
        <v>41699</v>
      </c>
      <c r="N697" s="10">
        <f t="shared" si="63"/>
        <v>3</v>
      </c>
      <c r="O697" s="8" t="str">
        <f t="shared" si="64"/>
        <v>March</v>
      </c>
      <c r="P697" s="7">
        <f t="shared" si="65"/>
        <v>2014</v>
      </c>
    </row>
    <row r="698" spans="1:16" ht="15.75" customHeight="1" x14ac:dyDescent="0.3">
      <c r="A698" s="7" t="s">
        <v>27</v>
      </c>
      <c r="B698" s="7" t="s">
        <v>23</v>
      </c>
      <c r="C698" s="8" t="s">
        <v>32</v>
      </c>
      <c r="D698" s="8" t="s">
        <v>35</v>
      </c>
      <c r="E698" s="7">
        <v>546</v>
      </c>
      <c r="F698" s="8">
        <v>260</v>
      </c>
      <c r="G698" s="8">
        <v>300</v>
      </c>
      <c r="H698" s="8">
        <f t="shared" si="60"/>
        <v>305760</v>
      </c>
      <c r="I698" s="8">
        <v>24570</v>
      </c>
      <c r="J698" s="8">
        <f t="shared" si="61"/>
        <v>281190</v>
      </c>
      <c r="K698" s="8">
        <v>136500</v>
      </c>
      <c r="L698" s="8">
        <f t="shared" si="62"/>
        <v>144690</v>
      </c>
      <c r="M698" s="9">
        <v>41913</v>
      </c>
      <c r="N698" s="10">
        <f t="shared" si="63"/>
        <v>10</v>
      </c>
      <c r="O698" s="8" t="str">
        <f t="shared" si="64"/>
        <v>October</v>
      </c>
      <c r="P698" s="7">
        <f t="shared" si="65"/>
        <v>2014</v>
      </c>
    </row>
    <row r="699" spans="1:16" ht="15.75" customHeight="1" x14ac:dyDescent="0.3">
      <c r="A699" s="11" t="s">
        <v>16</v>
      </c>
      <c r="B699" s="11" t="s">
        <v>23</v>
      </c>
      <c r="C699" s="12" t="s">
        <v>24</v>
      </c>
      <c r="D699" s="12" t="s">
        <v>35</v>
      </c>
      <c r="E699" s="11">
        <v>1368</v>
      </c>
      <c r="F699" s="12">
        <v>5</v>
      </c>
      <c r="G699" s="12">
        <v>7</v>
      </c>
      <c r="H699" s="8">
        <f t="shared" si="60"/>
        <v>16416</v>
      </c>
      <c r="I699" s="12">
        <v>1436.4</v>
      </c>
      <c r="J699" s="8">
        <f t="shared" si="61"/>
        <v>14979.6</v>
      </c>
      <c r="K699" s="12">
        <v>6840</v>
      </c>
      <c r="L699" s="8">
        <f t="shared" si="62"/>
        <v>8139.6</v>
      </c>
      <c r="M699" s="13">
        <v>41671</v>
      </c>
      <c r="N699" s="10">
        <f t="shared" si="63"/>
        <v>2</v>
      </c>
      <c r="O699" s="8" t="str">
        <f t="shared" si="64"/>
        <v>February</v>
      </c>
      <c r="P699" s="7">
        <f t="shared" si="65"/>
        <v>2014</v>
      </c>
    </row>
    <row r="700" spans="1:16" ht="15.75" customHeight="1" x14ac:dyDescent="0.3">
      <c r="A700" s="7" t="s">
        <v>16</v>
      </c>
      <c r="B700" s="7" t="s">
        <v>17</v>
      </c>
      <c r="C700" s="8" t="s">
        <v>29</v>
      </c>
      <c r="D700" s="8" t="s">
        <v>35</v>
      </c>
      <c r="E700" s="7">
        <v>723</v>
      </c>
      <c r="F700" s="8">
        <v>10</v>
      </c>
      <c r="G700" s="8">
        <v>7</v>
      </c>
      <c r="H700" s="8">
        <f t="shared" si="60"/>
        <v>12291</v>
      </c>
      <c r="I700" s="8">
        <v>759.15000000000009</v>
      </c>
      <c r="J700" s="8">
        <f t="shared" si="61"/>
        <v>11531.85</v>
      </c>
      <c r="K700" s="8">
        <v>3615</v>
      </c>
      <c r="L700" s="8">
        <f t="shared" si="62"/>
        <v>7916.85</v>
      </c>
      <c r="M700" s="9">
        <v>41730</v>
      </c>
      <c r="N700" s="10">
        <f t="shared" si="63"/>
        <v>4</v>
      </c>
      <c r="O700" s="8" t="str">
        <f t="shared" si="64"/>
        <v>April</v>
      </c>
      <c r="P700" s="7">
        <f t="shared" si="65"/>
        <v>2014</v>
      </c>
    </row>
    <row r="701" spans="1:16" ht="15.75" customHeight="1" x14ac:dyDescent="0.3">
      <c r="A701" s="11" t="s">
        <v>25</v>
      </c>
      <c r="B701" s="11" t="s">
        <v>28</v>
      </c>
      <c r="C701" s="12" t="s">
        <v>31</v>
      </c>
      <c r="D701" s="12" t="s">
        <v>35</v>
      </c>
      <c r="E701" s="11">
        <v>1806</v>
      </c>
      <c r="F701" s="12">
        <v>250</v>
      </c>
      <c r="G701" s="12">
        <v>12</v>
      </c>
      <c r="H701" s="8">
        <f t="shared" si="60"/>
        <v>473172</v>
      </c>
      <c r="I701" s="12">
        <v>3250.8</v>
      </c>
      <c r="J701" s="8">
        <f t="shared" si="61"/>
        <v>469921.2</v>
      </c>
      <c r="K701" s="12">
        <v>5418</v>
      </c>
      <c r="L701" s="8">
        <f t="shared" si="62"/>
        <v>464503.2</v>
      </c>
      <c r="M701" s="13">
        <v>41760</v>
      </c>
      <c r="N701" s="10">
        <f t="shared" si="63"/>
        <v>5</v>
      </c>
      <c r="O701" s="8" t="str">
        <f t="shared" si="64"/>
        <v>May</v>
      </c>
      <c r="P701" s="7">
        <f t="shared" si="65"/>
        <v>2014</v>
      </c>
    </row>
    <row r="702" spans="1:16" ht="15.75" customHeight="1" x14ac:dyDescent="0.3">
      <c r="C702" s="14"/>
      <c r="E702" s="15"/>
      <c r="F702" s="15"/>
      <c r="G702" s="15"/>
      <c r="H702" s="15"/>
      <c r="I702" s="15"/>
      <c r="J702" s="15"/>
      <c r="M702" s="16"/>
      <c r="N702" s="17"/>
      <c r="P702" s="18"/>
    </row>
    <row r="703" spans="1:16" ht="15.75" customHeight="1" x14ac:dyDescent="0.3">
      <c r="C703" s="14"/>
      <c r="E703" s="15"/>
      <c r="F703" s="15"/>
      <c r="G703" s="15"/>
      <c r="H703" s="15"/>
      <c r="I703" s="15"/>
      <c r="J703" s="15"/>
      <c r="M703" s="16"/>
      <c r="N703" s="17"/>
      <c r="P703" s="18"/>
    </row>
    <row r="704" spans="1:16" ht="15.75" customHeight="1" x14ac:dyDescent="0.3">
      <c r="C704" s="14"/>
      <c r="E704" s="15"/>
      <c r="F704" s="15"/>
      <c r="G704" s="15"/>
      <c r="H704" s="15"/>
      <c r="I704" s="15"/>
      <c r="J704" s="15"/>
      <c r="M704" s="16"/>
      <c r="N704" s="17"/>
      <c r="P704" s="18"/>
    </row>
    <row r="705" spans="3:16" ht="15.75" customHeight="1" x14ac:dyDescent="0.3">
      <c r="C705" s="14"/>
      <c r="E705" s="15"/>
      <c r="F705" s="15"/>
      <c r="G705" s="15"/>
      <c r="H705" s="15"/>
      <c r="I705" s="15"/>
      <c r="J705" s="15"/>
      <c r="M705" s="16"/>
      <c r="N705" s="17"/>
      <c r="P705" s="18"/>
    </row>
    <row r="706" spans="3:16" ht="15.75" customHeight="1" x14ac:dyDescent="0.3">
      <c r="C706" s="14"/>
      <c r="E706" s="15"/>
      <c r="F706" s="15"/>
      <c r="G706" s="15"/>
      <c r="H706" s="15"/>
      <c r="I706" s="15"/>
      <c r="J706" s="15"/>
      <c r="M706" s="16"/>
      <c r="N706" s="17"/>
      <c r="P706" s="18"/>
    </row>
    <row r="707" spans="3:16" ht="15.75" customHeight="1" x14ac:dyDescent="0.3">
      <c r="C707" s="14"/>
      <c r="E707" s="15"/>
      <c r="F707" s="15"/>
      <c r="G707" s="15"/>
      <c r="H707" s="15"/>
      <c r="I707" s="15"/>
      <c r="J707" s="15"/>
      <c r="M707" s="16"/>
      <c r="N707" s="17"/>
      <c r="P707" s="18"/>
    </row>
    <row r="708" spans="3:16" ht="15.75" customHeight="1" x14ac:dyDescent="0.3">
      <c r="C708" s="14"/>
      <c r="E708" s="15"/>
      <c r="F708" s="15"/>
      <c r="G708" s="15"/>
      <c r="H708" s="15"/>
      <c r="I708" s="15"/>
      <c r="J708" s="15"/>
      <c r="M708" s="16"/>
      <c r="N708" s="17"/>
      <c r="P708" s="18"/>
    </row>
    <row r="709" spans="3:16" ht="15.75" customHeight="1" x14ac:dyDescent="0.3">
      <c r="C709" s="14"/>
      <c r="E709" s="15"/>
      <c r="F709" s="15"/>
      <c r="G709" s="15"/>
      <c r="H709" s="15"/>
      <c r="I709" s="15"/>
      <c r="J709" s="15"/>
      <c r="M709" s="16"/>
      <c r="N709" s="17"/>
      <c r="P709" s="18"/>
    </row>
    <row r="710" spans="3:16" ht="15.75" customHeight="1" x14ac:dyDescent="0.3">
      <c r="C710" s="14"/>
      <c r="E710" s="15"/>
      <c r="F710" s="15"/>
      <c r="G710" s="15"/>
      <c r="H710" s="15"/>
      <c r="I710" s="15"/>
      <c r="J710" s="15"/>
      <c r="M710" s="16"/>
      <c r="N710" s="17"/>
      <c r="P710" s="18"/>
    </row>
    <row r="711" spans="3:16" ht="15.75" customHeight="1" x14ac:dyDescent="0.3">
      <c r="C711" s="14"/>
      <c r="E711" s="15"/>
      <c r="F711" s="15"/>
      <c r="G711" s="15"/>
      <c r="H711" s="15"/>
      <c r="I711" s="15"/>
      <c r="J711" s="15"/>
      <c r="M711" s="16"/>
      <c r="N711" s="17"/>
      <c r="P711" s="18"/>
    </row>
    <row r="712" spans="3:16" ht="15.75" customHeight="1" x14ac:dyDescent="0.3">
      <c r="C712" s="14"/>
      <c r="E712" s="15"/>
      <c r="F712" s="15"/>
      <c r="G712" s="15"/>
      <c r="H712" s="15"/>
      <c r="I712" s="15"/>
      <c r="J712" s="15"/>
      <c r="M712" s="16"/>
      <c r="N712" s="17"/>
      <c r="P712" s="18"/>
    </row>
    <row r="713" spans="3:16" ht="15.75" customHeight="1" x14ac:dyDescent="0.3">
      <c r="C713" s="14"/>
      <c r="E713" s="15"/>
      <c r="F713" s="15"/>
      <c r="G713" s="15"/>
      <c r="H713" s="15"/>
      <c r="I713" s="15"/>
      <c r="J713" s="15"/>
      <c r="M713" s="16"/>
      <c r="N713" s="17"/>
      <c r="P713" s="18"/>
    </row>
    <row r="714" spans="3:16" ht="15.75" customHeight="1" x14ac:dyDescent="0.3">
      <c r="C714" s="14"/>
      <c r="E714" s="15"/>
      <c r="F714" s="15"/>
      <c r="G714" s="15"/>
      <c r="H714" s="15"/>
      <c r="I714" s="15"/>
      <c r="J714" s="15"/>
      <c r="M714" s="16"/>
      <c r="N714" s="17"/>
      <c r="P714" s="18"/>
    </row>
    <row r="715" spans="3:16" ht="15.75" customHeight="1" x14ac:dyDescent="0.3">
      <c r="C715" s="14"/>
      <c r="E715" s="15"/>
      <c r="F715" s="15"/>
      <c r="G715" s="15"/>
      <c r="H715" s="15"/>
      <c r="I715" s="15"/>
      <c r="J715" s="15"/>
      <c r="M715" s="16"/>
      <c r="N715" s="17"/>
      <c r="P715" s="18"/>
    </row>
    <row r="716" spans="3:16" ht="15.75" customHeight="1" x14ac:dyDescent="0.3">
      <c r="C716" s="14"/>
      <c r="E716" s="15"/>
      <c r="F716" s="15"/>
      <c r="G716" s="15"/>
      <c r="H716" s="15"/>
      <c r="I716" s="15"/>
      <c r="J716" s="15"/>
      <c r="M716" s="16"/>
      <c r="N716" s="17"/>
      <c r="P716" s="18"/>
    </row>
    <row r="717" spans="3:16" ht="15.75" customHeight="1" x14ac:dyDescent="0.3">
      <c r="C717" s="14"/>
      <c r="E717" s="15"/>
      <c r="F717" s="15"/>
      <c r="G717" s="15"/>
      <c r="H717" s="15"/>
      <c r="I717" s="15"/>
      <c r="J717" s="15"/>
      <c r="M717" s="16"/>
      <c r="N717" s="17"/>
      <c r="P717" s="18"/>
    </row>
    <row r="718" spans="3:16" ht="15.75" customHeight="1" x14ac:dyDescent="0.3">
      <c r="C718" s="14"/>
      <c r="E718" s="15"/>
      <c r="F718" s="15"/>
      <c r="G718" s="15"/>
      <c r="H718" s="15"/>
      <c r="I718" s="15"/>
      <c r="J718" s="15"/>
      <c r="M718" s="16"/>
      <c r="N718" s="17"/>
      <c r="P718" s="18"/>
    </row>
    <row r="719" spans="3:16" ht="15.75" customHeight="1" x14ac:dyDescent="0.3">
      <c r="C719" s="14"/>
      <c r="E719" s="15"/>
      <c r="F719" s="15"/>
      <c r="G719" s="15"/>
      <c r="H719" s="15"/>
      <c r="I719" s="15"/>
      <c r="J719" s="15"/>
      <c r="M719" s="16"/>
      <c r="N719" s="17"/>
      <c r="P719" s="18"/>
    </row>
    <row r="720" spans="3:16" ht="15.75" customHeight="1" x14ac:dyDescent="0.3">
      <c r="C720" s="14"/>
      <c r="E720" s="15"/>
      <c r="F720" s="15"/>
      <c r="G720" s="15"/>
      <c r="H720" s="15"/>
      <c r="I720" s="15"/>
      <c r="J720" s="15"/>
      <c r="M720" s="16"/>
      <c r="N720" s="17"/>
      <c r="P720" s="18"/>
    </row>
    <row r="721" spans="3:16" ht="15.75" customHeight="1" x14ac:dyDescent="0.3">
      <c r="C721" s="14"/>
      <c r="E721" s="15"/>
      <c r="F721" s="15"/>
      <c r="G721" s="15"/>
      <c r="H721" s="15"/>
      <c r="I721" s="15"/>
      <c r="J721" s="15"/>
      <c r="M721" s="16"/>
      <c r="N721" s="17"/>
      <c r="P721" s="18"/>
    </row>
    <row r="722" spans="3:16" ht="15.75" customHeight="1" x14ac:dyDescent="0.3">
      <c r="C722" s="14"/>
      <c r="E722" s="15"/>
      <c r="F722" s="15"/>
      <c r="G722" s="15"/>
      <c r="H722" s="15"/>
      <c r="I722" s="15"/>
      <c r="J722" s="15"/>
      <c r="M722" s="16"/>
      <c r="N722" s="17"/>
      <c r="P722" s="18"/>
    </row>
    <row r="723" spans="3:16" ht="15.75" customHeight="1" x14ac:dyDescent="0.3">
      <c r="C723" s="14"/>
      <c r="E723" s="15"/>
      <c r="F723" s="15"/>
      <c r="G723" s="15"/>
      <c r="H723" s="15"/>
      <c r="I723" s="15"/>
      <c r="J723" s="15"/>
      <c r="M723" s="16"/>
      <c r="N723" s="17"/>
      <c r="P723" s="18"/>
    </row>
    <row r="724" spans="3:16" ht="15.75" customHeight="1" x14ac:dyDescent="0.3">
      <c r="C724" s="14"/>
      <c r="E724" s="15"/>
      <c r="F724" s="15"/>
      <c r="G724" s="15"/>
      <c r="H724" s="15"/>
      <c r="I724" s="15"/>
      <c r="J724" s="15"/>
      <c r="M724" s="16"/>
      <c r="N724" s="17"/>
      <c r="P724" s="18"/>
    </row>
    <row r="725" spans="3:16" ht="15.75" customHeight="1" x14ac:dyDescent="0.3">
      <c r="C725" s="14"/>
      <c r="E725" s="15"/>
      <c r="F725" s="15"/>
      <c r="G725" s="15"/>
      <c r="H725" s="15"/>
      <c r="I725" s="15"/>
      <c r="J725" s="15"/>
      <c r="M725" s="16"/>
      <c r="N725" s="17"/>
      <c r="P725" s="18"/>
    </row>
    <row r="726" spans="3:16" ht="15.75" customHeight="1" x14ac:dyDescent="0.3">
      <c r="C726" s="14"/>
      <c r="E726" s="15"/>
      <c r="F726" s="15"/>
      <c r="G726" s="15"/>
      <c r="H726" s="15"/>
      <c r="I726" s="15"/>
      <c r="J726" s="15"/>
      <c r="M726" s="16"/>
      <c r="N726" s="17"/>
      <c r="P726" s="18"/>
    </row>
    <row r="727" spans="3:16" ht="15.75" customHeight="1" x14ac:dyDescent="0.3">
      <c r="C727" s="14"/>
      <c r="E727" s="15"/>
      <c r="F727" s="15"/>
      <c r="G727" s="15"/>
      <c r="H727" s="15"/>
      <c r="I727" s="15"/>
      <c r="J727" s="15"/>
      <c r="M727" s="16"/>
      <c r="N727" s="17"/>
      <c r="P727" s="18"/>
    </row>
    <row r="728" spans="3:16" ht="15.75" customHeight="1" x14ac:dyDescent="0.3">
      <c r="C728" s="14"/>
      <c r="E728" s="15"/>
      <c r="F728" s="15"/>
      <c r="G728" s="15"/>
      <c r="H728" s="15"/>
      <c r="I728" s="15"/>
      <c r="J728" s="15"/>
      <c r="M728" s="16"/>
      <c r="N728" s="17"/>
      <c r="P728" s="18"/>
    </row>
    <row r="729" spans="3:16" ht="15.75" customHeight="1" x14ac:dyDescent="0.3">
      <c r="C729" s="14"/>
      <c r="E729" s="15"/>
      <c r="F729" s="15"/>
      <c r="G729" s="15"/>
      <c r="H729" s="15"/>
      <c r="I729" s="15"/>
      <c r="J729" s="15"/>
      <c r="M729" s="16"/>
      <c r="N729" s="17"/>
      <c r="P729" s="18"/>
    </row>
    <row r="730" spans="3:16" ht="15.75" customHeight="1" x14ac:dyDescent="0.3">
      <c r="C730" s="14"/>
      <c r="E730" s="15"/>
      <c r="F730" s="15"/>
      <c r="G730" s="15"/>
      <c r="H730" s="15"/>
      <c r="I730" s="15"/>
      <c r="J730" s="15"/>
      <c r="M730" s="16"/>
      <c r="N730" s="17"/>
      <c r="P730" s="18"/>
    </row>
    <row r="731" spans="3:16" ht="15.75" customHeight="1" x14ac:dyDescent="0.3">
      <c r="C731" s="14"/>
      <c r="E731" s="15"/>
      <c r="F731" s="15"/>
      <c r="G731" s="15"/>
      <c r="H731" s="15"/>
      <c r="I731" s="15"/>
      <c r="J731" s="15"/>
      <c r="M731" s="16"/>
      <c r="N731" s="17"/>
      <c r="P731" s="18"/>
    </row>
    <row r="732" spans="3:16" ht="15.75" customHeight="1" x14ac:dyDescent="0.3">
      <c r="C732" s="14"/>
      <c r="E732" s="15"/>
      <c r="F732" s="15"/>
      <c r="G732" s="15"/>
      <c r="H732" s="15"/>
      <c r="I732" s="15"/>
      <c r="J732" s="15"/>
      <c r="M732" s="16"/>
      <c r="N732" s="17"/>
      <c r="P732" s="18"/>
    </row>
    <row r="733" spans="3:16" ht="15.75" customHeight="1" x14ac:dyDescent="0.3">
      <c r="C733" s="14"/>
      <c r="E733" s="15"/>
      <c r="F733" s="15"/>
      <c r="G733" s="15"/>
      <c r="H733" s="15"/>
      <c r="I733" s="15"/>
      <c r="J733" s="15"/>
      <c r="M733" s="16"/>
      <c r="N733" s="17"/>
      <c r="P733" s="18"/>
    </row>
    <row r="734" spans="3:16" ht="15.75" customHeight="1" x14ac:dyDescent="0.3">
      <c r="C734" s="14"/>
      <c r="E734" s="15"/>
      <c r="F734" s="15"/>
      <c r="G734" s="15"/>
      <c r="H734" s="15"/>
      <c r="I734" s="15"/>
      <c r="J734" s="15"/>
      <c r="M734" s="16"/>
      <c r="N734" s="17"/>
      <c r="P734" s="18"/>
    </row>
    <row r="735" spans="3:16" ht="15.75" customHeight="1" x14ac:dyDescent="0.3">
      <c r="C735" s="14"/>
      <c r="E735" s="15"/>
      <c r="F735" s="15"/>
      <c r="G735" s="15"/>
      <c r="H735" s="15"/>
      <c r="I735" s="15"/>
      <c r="J735" s="15"/>
      <c r="M735" s="16"/>
      <c r="N735" s="17"/>
      <c r="P735" s="18"/>
    </row>
    <row r="736" spans="3:16" ht="15.75" customHeight="1" x14ac:dyDescent="0.3">
      <c r="C736" s="14"/>
      <c r="E736" s="15"/>
      <c r="F736" s="15"/>
      <c r="G736" s="15"/>
      <c r="H736" s="15"/>
      <c r="I736" s="15"/>
      <c r="J736" s="15"/>
      <c r="M736" s="16"/>
      <c r="N736" s="17"/>
      <c r="P736" s="18"/>
    </row>
    <row r="737" spans="3:16" ht="15.75" customHeight="1" x14ac:dyDescent="0.3">
      <c r="C737" s="14"/>
      <c r="E737" s="15"/>
      <c r="F737" s="15"/>
      <c r="G737" s="15"/>
      <c r="H737" s="15"/>
      <c r="I737" s="15"/>
      <c r="J737" s="15"/>
      <c r="M737" s="16"/>
      <c r="N737" s="17"/>
      <c r="P737" s="18"/>
    </row>
    <row r="738" spans="3:16" ht="15.75" customHeight="1" x14ac:dyDescent="0.3">
      <c r="C738" s="14"/>
      <c r="E738" s="15"/>
      <c r="F738" s="15"/>
      <c r="G738" s="15"/>
      <c r="H738" s="15"/>
      <c r="I738" s="15"/>
      <c r="J738" s="15"/>
      <c r="M738" s="16"/>
      <c r="N738" s="17"/>
      <c r="P738" s="18"/>
    </row>
    <row r="739" spans="3:16" ht="15.75" customHeight="1" x14ac:dyDescent="0.3">
      <c r="C739" s="14"/>
      <c r="E739" s="15"/>
      <c r="F739" s="15"/>
      <c r="G739" s="15"/>
      <c r="H739" s="15"/>
      <c r="I739" s="15"/>
      <c r="J739" s="15"/>
      <c r="M739" s="16"/>
      <c r="N739" s="17"/>
      <c r="P739" s="18"/>
    </row>
    <row r="740" spans="3:16" ht="15.75" customHeight="1" x14ac:dyDescent="0.3">
      <c r="C740" s="14"/>
      <c r="E740" s="15"/>
      <c r="F740" s="15"/>
      <c r="G740" s="15"/>
      <c r="H740" s="15"/>
      <c r="I740" s="15"/>
      <c r="J740" s="15"/>
      <c r="M740" s="16"/>
      <c r="N740" s="17"/>
      <c r="P740" s="18"/>
    </row>
    <row r="741" spans="3:16" ht="15.75" customHeight="1" x14ac:dyDescent="0.3">
      <c r="C741" s="14"/>
      <c r="E741" s="15"/>
      <c r="F741" s="15"/>
      <c r="G741" s="15"/>
      <c r="H741" s="15"/>
      <c r="I741" s="15"/>
      <c r="J741" s="15"/>
      <c r="M741" s="16"/>
      <c r="N741" s="17"/>
      <c r="P741" s="18"/>
    </row>
    <row r="742" spans="3:16" ht="15.75" customHeight="1" x14ac:dyDescent="0.3">
      <c r="C742" s="14"/>
      <c r="E742" s="15"/>
      <c r="F742" s="15"/>
      <c r="G742" s="15"/>
      <c r="H742" s="15"/>
      <c r="I742" s="15"/>
      <c r="J742" s="15"/>
      <c r="M742" s="16"/>
      <c r="N742" s="17"/>
      <c r="P742" s="18"/>
    </row>
    <row r="743" spans="3:16" ht="15.75" customHeight="1" x14ac:dyDescent="0.3">
      <c r="C743" s="14"/>
      <c r="E743" s="15"/>
      <c r="F743" s="15"/>
      <c r="G743" s="15"/>
      <c r="H743" s="15"/>
      <c r="I743" s="15"/>
      <c r="J743" s="15"/>
      <c r="M743" s="16"/>
      <c r="N743" s="17"/>
      <c r="P743" s="18"/>
    </row>
    <row r="744" spans="3:16" ht="15.75" customHeight="1" x14ac:dyDescent="0.3">
      <c r="C744" s="14"/>
      <c r="E744" s="15"/>
      <c r="F744" s="15"/>
      <c r="G744" s="15"/>
      <c r="H744" s="15"/>
      <c r="I744" s="15"/>
      <c r="J744" s="15"/>
      <c r="M744" s="16"/>
      <c r="N744" s="17"/>
      <c r="P744" s="18"/>
    </row>
    <row r="745" spans="3:16" ht="15.75" customHeight="1" x14ac:dyDescent="0.3">
      <c r="C745" s="14"/>
      <c r="E745" s="15"/>
      <c r="F745" s="15"/>
      <c r="G745" s="15"/>
      <c r="H745" s="15"/>
      <c r="I745" s="15"/>
      <c r="J745" s="15"/>
      <c r="M745" s="16"/>
      <c r="N745" s="17"/>
      <c r="P745" s="18"/>
    </row>
    <row r="746" spans="3:16" ht="15.75" customHeight="1" x14ac:dyDescent="0.3">
      <c r="C746" s="14"/>
      <c r="E746" s="15"/>
      <c r="F746" s="15"/>
      <c r="G746" s="15"/>
      <c r="H746" s="15"/>
      <c r="I746" s="15"/>
      <c r="J746" s="15"/>
      <c r="M746" s="16"/>
      <c r="N746" s="17"/>
      <c r="P746" s="18"/>
    </row>
    <row r="747" spans="3:16" ht="15.75" customHeight="1" x14ac:dyDescent="0.3">
      <c r="C747" s="14"/>
      <c r="E747" s="15"/>
      <c r="F747" s="15"/>
      <c r="G747" s="15"/>
      <c r="H747" s="15"/>
      <c r="I747" s="15"/>
      <c r="J747" s="15"/>
      <c r="M747" s="16"/>
      <c r="N747" s="17"/>
      <c r="P747" s="18"/>
    </row>
    <row r="748" spans="3:16" ht="15.75" customHeight="1" x14ac:dyDescent="0.3">
      <c r="C748" s="14"/>
      <c r="E748" s="15"/>
      <c r="F748" s="15"/>
      <c r="G748" s="15"/>
      <c r="H748" s="15"/>
      <c r="I748" s="15"/>
      <c r="J748" s="15"/>
      <c r="M748" s="16"/>
      <c r="N748" s="17"/>
      <c r="P748" s="18"/>
    </row>
    <row r="749" spans="3:16" ht="15.75" customHeight="1" x14ac:dyDescent="0.3">
      <c r="C749" s="14"/>
      <c r="E749" s="15"/>
      <c r="F749" s="15"/>
      <c r="G749" s="15"/>
      <c r="H749" s="15"/>
      <c r="I749" s="15"/>
      <c r="J749" s="15"/>
      <c r="M749" s="16"/>
      <c r="N749" s="17"/>
      <c r="P749" s="18"/>
    </row>
    <row r="750" spans="3:16" ht="15.75" customHeight="1" x14ac:dyDescent="0.3">
      <c r="C750" s="14"/>
      <c r="E750" s="15"/>
      <c r="F750" s="15"/>
      <c r="G750" s="15"/>
      <c r="H750" s="15"/>
      <c r="I750" s="15"/>
      <c r="J750" s="15"/>
      <c r="M750" s="16"/>
      <c r="N750" s="17"/>
      <c r="P750" s="18"/>
    </row>
    <row r="751" spans="3:16" ht="15.75" customHeight="1" x14ac:dyDescent="0.3">
      <c r="C751" s="14"/>
      <c r="E751" s="15"/>
      <c r="F751" s="15"/>
      <c r="G751" s="15"/>
      <c r="H751" s="15"/>
      <c r="I751" s="15"/>
      <c r="J751" s="15"/>
      <c r="M751" s="16"/>
      <c r="N751" s="17"/>
      <c r="P751" s="18"/>
    </row>
    <row r="752" spans="3:16" ht="15.75" customHeight="1" x14ac:dyDescent="0.3">
      <c r="C752" s="14"/>
      <c r="E752" s="15"/>
      <c r="F752" s="15"/>
      <c r="G752" s="15"/>
      <c r="H752" s="15"/>
      <c r="I752" s="15"/>
      <c r="J752" s="15"/>
      <c r="M752" s="16"/>
      <c r="N752" s="17"/>
      <c r="P752" s="18"/>
    </row>
    <row r="753" spans="3:16" ht="15.75" customHeight="1" x14ac:dyDescent="0.3">
      <c r="C753" s="14"/>
      <c r="E753" s="15"/>
      <c r="F753" s="15"/>
      <c r="G753" s="15"/>
      <c r="H753" s="15"/>
      <c r="I753" s="15"/>
      <c r="J753" s="15"/>
      <c r="M753" s="16"/>
      <c r="N753" s="17"/>
      <c r="P753" s="18"/>
    </row>
    <row r="754" spans="3:16" ht="15.75" customHeight="1" x14ac:dyDescent="0.3">
      <c r="C754" s="14"/>
      <c r="E754" s="15"/>
      <c r="F754" s="15"/>
      <c r="G754" s="15"/>
      <c r="H754" s="15"/>
      <c r="I754" s="15"/>
      <c r="J754" s="15"/>
      <c r="M754" s="16"/>
      <c r="N754" s="17"/>
      <c r="P754" s="18"/>
    </row>
    <row r="755" spans="3:16" ht="15.75" customHeight="1" x14ac:dyDescent="0.3">
      <c r="C755" s="14"/>
      <c r="E755" s="15"/>
      <c r="F755" s="15"/>
      <c r="G755" s="15"/>
      <c r="H755" s="15"/>
      <c r="I755" s="15"/>
      <c r="J755" s="15"/>
      <c r="M755" s="16"/>
      <c r="N755" s="17"/>
      <c r="P755" s="18"/>
    </row>
    <row r="756" spans="3:16" ht="15.75" customHeight="1" x14ac:dyDescent="0.3">
      <c r="C756" s="14"/>
      <c r="E756" s="15"/>
      <c r="F756" s="15"/>
      <c r="G756" s="15"/>
      <c r="H756" s="15"/>
      <c r="I756" s="15"/>
      <c r="J756" s="15"/>
      <c r="M756" s="16"/>
      <c r="N756" s="17"/>
      <c r="P756" s="18"/>
    </row>
    <row r="757" spans="3:16" ht="15.75" customHeight="1" x14ac:dyDescent="0.3">
      <c r="C757" s="14"/>
      <c r="E757" s="15"/>
      <c r="F757" s="15"/>
      <c r="G757" s="15"/>
      <c r="H757" s="15"/>
      <c r="I757" s="15"/>
      <c r="J757" s="15"/>
      <c r="M757" s="16"/>
      <c r="N757" s="17"/>
      <c r="P757" s="18"/>
    </row>
    <row r="758" spans="3:16" ht="15.75" customHeight="1" x14ac:dyDescent="0.3">
      <c r="C758" s="14"/>
      <c r="E758" s="15"/>
      <c r="F758" s="15"/>
      <c r="G758" s="15"/>
      <c r="H758" s="15"/>
      <c r="I758" s="15"/>
      <c r="J758" s="15"/>
      <c r="M758" s="16"/>
      <c r="N758" s="17"/>
      <c r="P758" s="18"/>
    </row>
    <row r="759" spans="3:16" ht="15.75" customHeight="1" x14ac:dyDescent="0.3">
      <c r="C759" s="14"/>
      <c r="E759" s="15"/>
      <c r="F759" s="15"/>
      <c r="G759" s="15"/>
      <c r="H759" s="15"/>
      <c r="I759" s="15"/>
      <c r="J759" s="15"/>
      <c r="M759" s="16"/>
      <c r="N759" s="17"/>
      <c r="P759" s="18"/>
    </row>
    <row r="760" spans="3:16" ht="15.75" customHeight="1" x14ac:dyDescent="0.3">
      <c r="C760" s="14"/>
      <c r="E760" s="15"/>
      <c r="F760" s="15"/>
      <c r="G760" s="15"/>
      <c r="H760" s="15"/>
      <c r="I760" s="15"/>
      <c r="J760" s="15"/>
      <c r="M760" s="16"/>
      <c r="N760" s="17"/>
      <c r="P760" s="18"/>
    </row>
    <row r="761" spans="3:16" ht="15.75" customHeight="1" x14ac:dyDescent="0.3">
      <c r="C761" s="14"/>
      <c r="E761" s="15"/>
      <c r="F761" s="15"/>
      <c r="G761" s="15"/>
      <c r="H761" s="15"/>
      <c r="I761" s="15"/>
      <c r="J761" s="15"/>
      <c r="M761" s="16"/>
      <c r="N761" s="17"/>
      <c r="P761" s="18"/>
    </row>
    <row r="762" spans="3:16" ht="15.75" customHeight="1" x14ac:dyDescent="0.3">
      <c r="C762" s="14"/>
      <c r="E762" s="15"/>
      <c r="F762" s="15"/>
      <c r="G762" s="15"/>
      <c r="H762" s="15"/>
      <c r="I762" s="15"/>
      <c r="J762" s="15"/>
      <c r="M762" s="16"/>
      <c r="N762" s="17"/>
      <c r="P762" s="18"/>
    </row>
    <row r="763" spans="3:16" ht="15.75" customHeight="1" x14ac:dyDescent="0.3">
      <c r="C763" s="14"/>
      <c r="E763" s="15"/>
      <c r="F763" s="15"/>
      <c r="G763" s="15"/>
      <c r="H763" s="15"/>
      <c r="I763" s="15"/>
      <c r="J763" s="15"/>
      <c r="M763" s="16"/>
      <c r="N763" s="17"/>
      <c r="P763" s="18"/>
    </row>
    <row r="764" spans="3:16" ht="15.75" customHeight="1" x14ac:dyDescent="0.3">
      <c r="C764" s="14"/>
      <c r="E764" s="15"/>
      <c r="F764" s="15"/>
      <c r="G764" s="15"/>
      <c r="H764" s="15"/>
      <c r="I764" s="15"/>
      <c r="J764" s="15"/>
      <c r="M764" s="16"/>
      <c r="N764" s="17"/>
      <c r="P764" s="18"/>
    </row>
    <row r="765" spans="3:16" ht="15.75" customHeight="1" x14ac:dyDescent="0.3">
      <c r="C765" s="14"/>
      <c r="E765" s="15"/>
      <c r="F765" s="15"/>
      <c r="G765" s="15"/>
      <c r="H765" s="15"/>
      <c r="I765" s="15"/>
      <c r="J765" s="15"/>
      <c r="M765" s="16"/>
      <c r="N765" s="17"/>
      <c r="P765" s="18"/>
    </row>
    <row r="766" spans="3:16" ht="15.75" customHeight="1" x14ac:dyDescent="0.3">
      <c r="C766" s="14"/>
      <c r="E766" s="15"/>
      <c r="F766" s="15"/>
      <c r="G766" s="15"/>
      <c r="H766" s="15"/>
      <c r="I766" s="15"/>
      <c r="J766" s="15"/>
      <c r="M766" s="16"/>
      <c r="N766" s="17"/>
      <c r="P766" s="18"/>
    </row>
    <row r="767" spans="3:16" ht="15.75" customHeight="1" x14ac:dyDescent="0.3">
      <c r="C767" s="14"/>
      <c r="E767" s="15"/>
      <c r="F767" s="15"/>
      <c r="G767" s="15"/>
      <c r="H767" s="15"/>
      <c r="I767" s="15"/>
      <c r="J767" s="15"/>
      <c r="M767" s="16"/>
      <c r="N767" s="17"/>
      <c r="P767" s="18"/>
    </row>
    <row r="768" spans="3:16" ht="15.75" customHeight="1" x14ac:dyDescent="0.3">
      <c r="C768" s="14"/>
      <c r="E768" s="15"/>
      <c r="F768" s="15"/>
      <c r="G768" s="15"/>
      <c r="H768" s="15"/>
      <c r="I768" s="15"/>
      <c r="J768" s="15"/>
      <c r="M768" s="16"/>
      <c r="N768" s="17"/>
      <c r="P768" s="18"/>
    </row>
    <row r="769" spans="3:16" ht="15.75" customHeight="1" x14ac:dyDescent="0.3">
      <c r="C769" s="14"/>
      <c r="E769" s="15"/>
      <c r="F769" s="15"/>
      <c r="G769" s="15"/>
      <c r="H769" s="15"/>
      <c r="I769" s="15"/>
      <c r="J769" s="15"/>
      <c r="M769" s="16"/>
      <c r="N769" s="17"/>
      <c r="P769" s="18"/>
    </row>
    <row r="770" spans="3:16" ht="15.75" customHeight="1" x14ac:dyDescent="0.3">
      <c r="C770" s="14"/>
      <c r="E770" s="15"/>
      <c r="F770" s="15"/>
      <c r="G770" s="15"/>
      <c r="H770" s="15"/>
      <c r="I770" s="15"/>
      <c r="J770" s="15"/>
      <c r="M770" s="16"/>
      <c r="N770" s="17"/>
      <c r="P770" s="18"/>
    </row>
    <row r="771" spans="3:16" ht="15.75" customHeight="1" x14ac:dyDescent="0.3">
      <c r="C771" s="14"/>
      <c r="E771" s="15"/>
      <c r="F771" s="15"/>
      <c r="G771" s="15"/>
      <c r="H771" s="15"/>
      <c r="I771" s="15"/>
      <c r="J771" s="15"/>
      <c r="M771" s="16"/>
      <c r="N771" s="17"/>
      <c r="P771" s="18"/>
    </row>
    <row r="772" spans="3:16" ht="15.75" customHeight="1" x14ac:dyDescent="0.3">
      <c r="C772" s="14"/>
      <c r="E772" s="15"/>
      <c r="F772" s="15"/>
      <c r="G772" s="15"/>
      <c r="H772" s="15"/>
      <c r="I772" s="15"/>
      <c r="J772" s="15"/>
      <c r="M772" s="16"/>
      <c r="N772" s="17"/>
      <c r="P772" s="18"/>
    </row>
    <row r="773" spans="3:16" ht="15.75" customHeight="1" x14ac:dyDescent="0.3">
      <c r="C773" s="14"/>
      <c r="E773" s="15"/>
      <c r="F773" s="15"/>
      <c r="G773" s="15"/>
      <c r="H773" s="15"/>
      <c r="I773" s="15"/>
      <c r="J773" s="15"/>
      <c r="M773" s="16"/>
      <c r="N773" s="17"/>
      <c r="P773" s="18"/>
    </row>
    <row r="774" spans="3:16" ht="15.75" customHeight="1" x14ac:dyDescent="0.3">
      <c r="C774" s="14"/>
      <c r="E774" s="15"/>
      <c r="F774" s="15"/>
      <c r="G774" s="15"/>
      <c r="H774" s="15"/>
      <c r="I774" s="15"/>
      <c r="J774" s="15"/>
      <c r="M774" s="16"/>
      <c r="N774" s="17"/>
      <c r="P774" s="18"/>
    </row>
    <row r="775" spans="3:16" ht="15.75" customHeight="1" x14ac:dyDescent="0.3">
      <c r="C775" s="14"/>
      <c r="E775" s="15"/>
      <c r="F775" s="15"/>
      <c r="G775" s="15"/>
      <c r="H775" s="15"/>
      <c r="I775" s="15"/>
      <c r="J775" s="15"/>
      <c r="M775" s="16"/>
      <c r="N775" s="17"/>
      <c r="P775" s="18"/>
    </row>
    <row r="776" spans="3:16" ht="15.75" customHeight="1" x14ac:dyDescent="0.3">
      <c r="C776" s="14"/>
      <c r="E776" s="15"/>
      <c r="F776" s="15"/>
      <c r="G776" s="15"/>
      <c r="H776" s="15"/>
      <c r="I776" s="15"/>
      <c r="J776" s="15"/>
      <c r="M776" s="16"/>
      <c r="N776" s="17"/>
      <c r="P776" s="18"/>
    </row>
    <row r="777" spans="3:16" ht="15.75" customHeight="1" x14ac:dyDescent="0.3">
      <c r="C777" s="14"/>
      <c r="E777" s="15"/>
      <c r="F777" s="15"/>
      <c r="G777" s="15"/>
      <c r="H777" s="15"/>
      <c r="I777" s="15"/>
      <c r="J777" s="15"/>
      <c r="M777" s="16"/>
      <c r="N777" s="17"/>
      <c r="P777" s="18"/>
    </row>
    <row r="778" spans="3:16" ht="15.75" customHeight="1" x14ac:dyDescent="0.3">
      <c r="C778" s="14"/>
      <c r="E778" s="15"/>
      <c r="F778" s="15"/>
      <c r="G778" s="15"/>
      <c r="H778" s="15"/>
      <c r="I778" s="15"/>
      <c r="J778" s="15"/>
      <c r="M778" s="16"/>
      <c r="N778" s="17"/>
      <c r="P778" s="18"/>
    </row>
    <row r="779" spans="3:16" ht="15.75" customHeight="1" x14ac:dyDescent="0.3">
      <c r="C779" s="14"/>
      <c r="E779" s="15"/>
      <c r="F779" s="15"/>
      <c r="G779" s="15"/>
      <c r="H779" s="15"/>
      <c r="I779" s="15"/>
      <c r="J779" s="15"/>
      <c r="M779" s="16"/>
      <c r="N779" s="17"/>
      <c r="P779" s="18"/>
    </row>
    <row r="780" spans="3:16" ht="15.75" customHeight="1" x14ac:dyDescent="0.3">
      <c r="C780" s="14"/>
      <c r="E780" s="15"/>
      <c r="F780" s="15"/>
      <c r="G780" s="15"/>
      <c r="H780" s="15"/>
      <c r="I780" s="15"/>
      <c r="J780" s="15"/>
      <c r="M780" s="16"/>
      <c r="N780" s="17"/>
      <c r="P780" s="18"/>
    </row>
    <row r="781" spans="3:16" ht="15.75" customHeight="1" x14ac:dyDescent="0.3">
      <c r="C781" s="14"/>
      <c r="E781" s="15"/>
      <c r="F781" s="15"/>
      <c r="G781" s="15"/>
      <c r="H781" s="15"/>
      <c r="I781" s="15"/>
      <c r="J781" s="15"/>
      <c r="M781" s="16"/>
      <c r="N781" s="17"/>
      <c r="P781" s="18"/>
    </row>
    <row r="782" spans="3:16" ht="15.75" customHeight="1" x14ac:dyDescent="0.3">
      <c r="C782" s="14"/>
      <c r="E782" s="15"/>
      <c r="F782" s="15"/>
      <c r="G782" s="15"/>
      <c r="H782" s="15"/>
      <c r="I782" s="15"/>
      <c r="J782" s="15"/>
      <c r="M782" s="16"/>
      <c r="N782" s="17"/>
      <c r="P782" s="18"/>
    </row>
    <row r="783" spans="3:16" ht="15.75" customHeight="1" x14ac:dyDescent="0.3">
      <c r="C783" s="14"/>
      <c r="E783" s="15"/>
      <c r="F783" s="15"/>
      <c r="G783" s="15"/>
      <c r="H783" s="15"/>
      <c r="I783" s="15"/>
      <c r="J783" s="15"/>
      <c r="M783" s="16"/>
      <c r="N783" s="17"/>
      <c r="P783" s="18"/>
    </row>
    <row r="784" spans="3:16" ht="15.75" customHeight="1" x14ac:dyDescent="0.3">
      <c r="C784" s="14"/>
      <c r="E784" s="15"/>
      <c r="F784" s="15"/>
      <c r="G784" s="15"/>
      <c r="H784" s="15"/>
      <c r="I784" s="15"/>
      <c r="J784" s="15"/>
      <c r="M784" s="16"/>
      <c r="N784" s="17"/>
      <c r="P784" s="18"/>
    </row>
    <row r="785" spans="3:16" ht="15.75" customHeight="1" x14ac:dyDescent="0.3">
      <c r="C785" s="14"/>
      <c r="E785" s="15"/>
      <c r="F785" s="15"/>
      <c r="G785" s="15"/>
      <c r="H785" s="15"/>
      <c r="I785" s="15"/>
      <c r="J785" s="15"/>
      <c r="M785" s="16"/>
      <c r="N785" s="17"/>
      <c r="P785" s="18"/>
    </row>
    <row r="786" spans="3:16" ht="15.75" customHeight="1" x14ac:dyDescent="0.3">
      <c r="C786" s="14"/>
      <c r="E786" s="15"/>
      <c r="F786" s="15"/>
      <c r="G786" s="15"/>
      <c r="H786" s="15"/>
      <c r="I786" s="15"/>
      <c r="J786" s="15"/>
      <c r="M786" s="16"/>
      <c r="N786" s="17"/>
      <c r="P786" s="18"/>
    </row>
    <row r="787" spans="3:16" ht="15.75" customHeight="1" x14ac:dyDescent="0.3">
      <c r="C787" s="14"/>
      <c r="E787" s="15"/>
      <c r="F787" s="15"/>
      <c r="G787" s="15"/>
      <c r="H787" s="15"/>
      <c r="I787" s="15"/>
      <c r="J787" s="15"/>
      <c r="M787" s="16"/>
      <c r="N787" s="17"/>
      <c r="P787" s="18"/>
    </row>
    <row r="788" spans="3:16" ht="15.75" customHeight="1" x14ac:dyDescent="0.3">
      <c r="C788" s="14"/>
      <c r="E788" s="15"/>
      <c r="F788" s="15"/>
      <c r="G788" s="15"/>
      <c r="H788" s="15"/>
      <c r="I788" s="15"/>
      <c r="J788" s="15"/>
      <c r="M788" s="16"/>
      <c r="N788" s="17"/>
      <c r="P788" s="18"/>
    </row>
    <row r="789" spans="3:16" ht="15.75" customHeight="1" x14ac:dyDescent="0.3">
      <c r="C789" s="14"/>
      <c r="E789" s="15"/>
      <c r="F789" s="15"/>
      <c r="G789" s="15"/>
      <c r="H789" s="15"/>
      <c r="I789" s="15"/>
      <c r="J789" s="15"/>
      <c r="M789" s="16"/>
      <c r="N789" s="17"/>
      <c r="P789" s="18"/>
    </row>
    <row r="790" spans="3:16" ht="15.75" customHeight="1" x14ac:dyDescent="0.3">
      <c r="C790" s="14"/>
      <c r="E790" s="15"/>
      <c r="F790" s="15"/>
      <c r="G790" s="15"/>
      <c r="H790" s="15"/>
      <c r="I790" s="15"/>
      <c r="J790" s="15"/>
      <c r="M790" s="16"/>
      <c r="N790" s="17"/>
      <c r="P790" s="18"/>
    </row>
    <row r="791" spans="3:16" ht="15.75" customHeight="1" x14ac:dyDescent="0.3">
      <c r="C791" s="14"/>
      <c r="E791" s="15"/>
      <c r="F791" s="15"/>
      <c r="G791" s="15"/>
      <c r="H791" s="15"/>
      <c r="I791" s="15"/>
      <c r="J791" s="15"/>
      <c r="M791" s="16"/>
      <c r="N791" s="17"/>
      <c r="P791" s="18"/>
    </row>
    <row r="792" spans="3:16" ht="15.75" customHeight="1" x14ac:dyDescent="0.3">
      <c r="C792" s="14"/>
      <c r="E792" s="15"/>
      <c r="F792" s="15"/>
      <c r="G792" s="15"/>
      <c r="H792" s="15"/>
      <c r="I792" s="15"/>
      <c r="J792" s="15"/>
      <c r="M792" s="16"/>
      <c r="N792" s="17"/>
      <c r="P792" s="18"/>
    </row>
    <row r="793" spans="3:16" ht="15.75" customHeight="1" x14ac:dyDescent="0.3">
      <c r="C793" s="14"/>
      <c r="E793" s="15"/>
      <c r="F793" s="15"/>
      <c r="G793" s="15"/>
      <c r="H793" s="15"/>
      <c r="I793" s="15"/>
      <c r="J793" s="15"/>
      <c r="M793" s="16"/>
      <c r="N793" s="17"/>
      <c r="P793" s="18"/>
    </row>
    <row r="794" spans="3:16" ht="15.75" customHeight="1" x14ac:dyDescent="0.3">
      <c r="C794" s="14"/>
      <c r="E794" s="15"/>
      <c r="F794" s="15"/>
      <c r="G794" s="15"/>
      <c r="H794" s="15"/>
      <c r="I794" s="15"/>
      <c r="J794" s="15"/>
      <c r="M794" s="16"/>
      <c r="N794" s="17"/>
      <c r="P794" s="18"/>
    </row>
    <row r="795" spans="3:16" ht="15.75" customHeight="1" x14ac:dyDescent="0.3">
      <c r="C795" s="14"/>
      <c r="E795" s="15"/>
      <c r="F795" s="15"/>
      <c r="G795" s="15"/>
      <c r="H795" s="15"/>
      <c r="I795" s="15"/>
      <c r="J795" s="15"/>
      <c r="M795" s="16"/>
      <c r="N795" s="17"/>
      <c r="P795" s="18"/>
    </row>
    <row r="796" spans="3:16" ht="15.75" customHeight="1" x14ac:dyDescent="0.3">
      <c r="C796" s="14"/>
      <c r="E796" s="15"/>
      <c r="F796" s="15"/>
      <c r="G796" s="15"/>
      <c r="H796" s="15"/>
      <c r="I796" s="15"/>
      <c r="J796" s="15"/>
      <c r="M796" s="16"/>
      <c r="N796" s="17"/>
      <c r="P796" s="18"/>
    </row>
    <row r="797" spans="3:16" ht="15.75" customHeight="1" x14ac:dyDescent="0.3">
      <c r="C797" s="14"/>
      <c r="E797" s="15"/>
      <c r="F797" s="15"/>
      <c r="G797" s="15"/>
      <c r="H797" s="15"/>
      <c r="I797" s="15"/>
      <c r="J797" s="15"/>
      <c r="M797" s="16"/>
      <c r="N797" s="17"/>
      <c r="P797" s="18"/>
    </row>
    <row r="798" spans="3:16" ht="15.75" customHeight="1" x14ac:dyDescent="0.3">
      <c r="C798" s="14"/>
      <c r="E798" s="15"/>
      <c r="F798" s="15"/>
      <c r="G798" s="15"/>
      <c r="H798" s="15"/>
      <c r="I798" s="15"/>
      <c r="J798" s="15"/>
      <c r="M798" s="16"/>
      <c r="N798" s="17"/>
      <c r="P798" s="18"/>
    </row>
    <row r="799" spans="3:16" ht="15.75" customHeight="1" x14ac:dyDescent="0.3">
      <c r="C799" s="14"/>
      <c r="E799" s="15"/>
      <c r="F799" s="15"/>
      <c r="G799" s="15"/>
      <c r="H799" s="15"/>
      <c r="I799" s="15"/>
      <c r="J799" s="15"/>
      <c r="M799" s="16"/>
      <c r="N799" s="17"/>
      <c r="P799" s="18"/>
    </row>
    <row r="800" spans="3:16" ht="15.75" customHeight="1" x14ac:dyDescent="0.3">
      <c r="C800" s="14"/>
      <c r="E800" s="15"/>
      <c r="F800" s="15"/>
      <c r="G800" s="15"/>
      <c r="H800" s="15"/>
      <c r="I800" s="15"/>
      <c r="J800" s="15"/>
      <c r="M800" s="16"/>
      <c r="N800" s="17"/>
      <c r="P800" s="18"/>
    </row>
    <row r="801" spans="3:16" ht="15.75" customHeight="1" x14ac:dyDescent="0.3">
      <c r="C801" s="14"/>
      <c r="E801" s="15"/>
      <c r="F801" s="15"/>
      <c r="G801" s="15"/>
      <c r="H801" s="15"/>
      <c r="I801" s="15"/>
      <c r="J801" s="15"/>
      <c r="M801" s="16"/>
      <c r="N801" s="17"/>
      <c r="P801" s="18"/>
    </row>
    <row r="802" spans="3:16" ht="15.75" customHeight="1" x14ac:dyDescent="0.3">
      <c r="C802" s="14"/>
      <c r="E802" s="15"/>
      <c r="F802" s="15"/>
      <c r="G802" s="15"/>
      <c r="H802" s="15"/>
      <c r="I802" s="15"/>
      <c r="J802" s="15"/>
      <c r="M802" s="16"/>
      <c r="N802" s="17"/>
      <c r="P802" s="18"/>
    </row>
    <row r="803" spans="3:16" ht="15.75" customHeight="1" x14ac:dyDescent="0.3">
      <c r="C803" s="14"/>
      <c r="E803" s="15"/>
      <c r="F803" s="15"/>
      <c r="G803" s="15"/>
      <c r="H803" s="15"/>
      <c r="I803" s="15"/>
      <c r="J803" s="15"/>
      <c r="M803" s="16"/>
      <c r="N803" s="17"/>
      <c r="P803" s="18"/>
    </row>
    <row r="804" spans="3:16" ht="15.75" customHeight="1" x14ac:dyDescent="0.3">
      <c r="C804" s="14"/>
      <c r="E804" s="15"/>
      <c r="F804" s="15"/>
      <c r="G804" s="15"/>
      <c r="H804" s="15"/>
      <c r="I804" s="15"/>
      <c r="J804" s="15"/>
      <c r="M804" s="16"/>
      <c r="N804" s="17"/>
      <c r="P804" s="18"/>
    </row>
    <row r="805" spans="3:16" ht="15.75" customHeight="1" x14ac:dyDescent="0.3">
      <c r="C805" s="14"/>
      <c r="E805" s="15"/>
      <c r="F805" s="15"/>
      <c r="G805" s="15"/>
      <c r="H805" s="15"/>
      <c r="I805" s="15"/>
      <c r="J805" s="15"/>
      <c r="M805" s="16"/>
      <c r="N805" s="17"/>
      <c r="P805" s="18"/>
    </row>
    <row r="806" spans="3:16" ht="15.75" customHeight="1" x14ac:dyDescent="0.3">
      <c r="C806" s="14"/>
      <c r="E806" s="15"/>
      <c r="F806" s="15"/>
      <c r="G806" s="15"/>
      <c r="H806" s="15"/>
      <c r="I806" s="15"/>
      <c r="J806" s="15"/>
      <c r="M806" s="16"/>
      <c r="N806" s="17"/>
      <c r="P806" s="18"/>
    </row>
    <row r="807" spans="3:16" ht="15.75" customHeight="1" x14ac:dyDescent="0.3">
      <c r="C807" s="14"/>
      <c r="E807" s="15"/>
      <c r="F807" s="15"/>
      <c r="G807" s="15"/>
      <c r="H807" s="15"/>
      <c r="I807" s="15"/>
      <c r="J807" s="15"/>
      <c r="M807" s="16"/>
      <c r="N807" s="17"/>
      <c r="P807" s="18"/>
    </row>
    <row r="808" spans="3:16" ht="15.75" customHeight="1" x14ac:dyDescent="0.3">
      <c r="C808" s="14"/>
      <c r="E808" s="15"/>
      <c r="F808" s="15"/>
      <c r="G808" s="15"/>
      <c r="H808" s="15"/>
      <c r="I808" s="15"/>
      <c r="J808" s="15"/>
      <c r="M808" s="16"/>
      <c r="N808" s="17"/>
      <c r="P808" s="18"/>
    </row>
    <row r="809" spans="3:16" ht="15.75" customHeight="1" x14ac:dyDescent="0.3">
      <c r="C809" s="14"/>
      <c r="E809" s="15"/>
      <c r="F809" s="15"/>
      <c r="G809" s="15"/>
      <c r="H809" s="15"/>
      <c r="I809" s="15"/>
      <c r="J809" s="15"/>
      <c r="M809" s="16"/>
      <c r="N809" s="17"/>
      <c r="P809" s="18"/>
    </row>
    <row r="810" spans="3:16" ht="15.75" customHeight="1" x14ac:dyDescent="0.3">
      <c r="C810" s="14"/>
      <c r="E810" s="15"/>
      <c r="F810" s="15"/>
      <c r="G810" s="15"/>
      <c r="H810" s="15"/>
      <c r="I810" s="15"/>
      <c r="J810" s="15"/>
      <c r="M810" s="16"/>
      <c r="N810" s="17"/>
      <c r="P810" s="18"/>
    </row>
    <row r="811" spans="3:16" ht="15.75" customHeight="1" x14ac:dyDescent="0.3">
      <c r="C811" s="14"/>
      <c r="E811" s="15"/>
      <c r="F811" s="15"/>
      <c r="G811" s="15"/>
      <c r="H811" s="15"/>
      <c r="I811" s="15"/>
      <c r="J811" s="15"/>
      <c r="M811" s="16"/>
      <c r="N811" s="17"/>
      <c r="P811" s="18"/>
    </row>
    <row r="812" spans="3:16" ht="15.75" customHeight="1" x14ac:dyDescent="0.3">
      <c r="C812" s="14"/>
      <c r="E812" s="15"/>
      <c r="F812" s="15"/>
      <c r="G812" s="15"/>
      <c r="H812" s="15"/>
      <c r="I812" s="15"/>
      <c r="J812" s="15"/>
      <c r="M812" s="16"/>
      <c r="N812" s="17"/>
      <c r="P812" s="18"/>
    </row>
    <row r="813" spans="3:16" ht="15.75" customHeight="1" x14ac:dyDescent="0.3">
      <c r="C813" s="14"/>
      <c r="E813" s="15"/>
      <c r="F813" s="15"/>
      <c r="G813" s="15"/>
      <c r="H813" s="15"/>
      <c r="I813" s="15"/>
      <c r="J813" s="15"/>
      <c r="M813" s="16"/>
      <c r="N813" s="17"/>
      <c r="P813" s="18"/>
    </row>
    <row r="814" spans="3:16" ht="15.75" customHeight="1" x14ac:dyDescent="0.3">
      <c r="C814" s="14"/>
      <c r="E814" s="15"/>
      <c r="F814" s="15"/>
      <c r="G814" s="15"/>
      <c r="H814" s="15"/>
      <c r="I814" s="15"/>
      <c r="J814" s="15"/>
      <c r="M814" s="16"/>
      <c r="N814" s="17"/>
      <c r="P814" s="18"/>
    </row>
    <row r="815" spans="3:16" ht="15.75" customHeight="1" x14ac:dyDescent="0.3">
      <c r="C815" s="14"/>
      <c r="E815" s="15"/>
      <c r="F815" s="15"/>
      <c r="G815" s="15"/>
      <c r="H815" s="15"/>
      <c r="I815" s="15"/>
      <c r="J815" s="15"/>
      <c r="M815" s="16"/>
      <c r="N815" s="17"/>
      <c r="P815" s="18"/>
    </row>
    <row r="816" spans="3:16" ht="15.75" customHeight="1" x14ac:dyDescent="0.3">
      <c r="C816" s="14"/>
      <c r="E816" s="15"/>
      <c r="F816" s="15"/>
      <c r="G816" s="15"/>
      <c r="H816" s="15"/>
      <c r="I816" s="15"/>
      <c r="J816" s="15"/>
      <c r="M816" s="16"/>
      <c r="N816" s="17"/>
      <c r="P816" s="18"/>
    </row>
    <row r="817" spans="3:16" ht="15.75" customHeight="1" x14ac:dyDescent="0.3">
      <c r="C817" s="14"/>
      <c r="E817" s="15"/>
      <c r="F817" s="15"/>
      <c r="G817" s="15"/>
      <c r="H817" s="15"/>
      <c r="I817" s="15"/>
      <c r="J817" s="15"/>
      <c r="M817" s="16"/>
      <c r="N817" s="17"/>
      <c r="P817" s="18"/>
    </row>
    <row r="818" spans="3:16" ht="15.75" customHeight="1" x14ac:dyDescent="0.3">
      <c r="C818" s="14"/>
      <c r="E818" s="15"/>
      <c r="F818" s="15"/>
      <c r="G818" s="15"/>
      <c r="H818" s="15"/>
      <c r="I818" s="15"/>
      <c r="J818" s="15"/>
      <c r="M818" s="16"/>
      <c r="N818" s="17"/>
      <c r="P818" s="18"/>
    </row>
    <row r="819" spans="3:16" ht="15.75" customHeight="1" x14ac:dyDescent="0.3">
      <c r="C819" s="14"/>
      <c r="E819" s="15"/>
      <c r="F819" s="15"/>
      <c r="G819" s="15"/>
      <c r="H819" s="15"/>
      <c r="I819" s="15"/>
      <c r="J819" s="15"/>
      <c r="M819" s="16"/>
      <c r="N819" s="17"/>
      <c r="P819" s="18"/>
    </row>
    <row r="820" spans="3:16" ht="15.75" customHeight="1" x14ac:dyDescent="0.3">
      <c r="C820" s="14"/>
      <c r="E820" s="15"/>
      <c r="F820" s="15"/>
      <c r="G820" s="15"/>
      <c r="H820" s="15"/>
      <c r="I820" s="15"/>
      <c r="J820" s="15"/>
      <c r="M820" s="16"/>
      <c r="N820" s="17"/>
      <c r="P820" s="18"/>
    </row>
    <row r="821" spans="3:16" ht="15.75" customHeight="1" x14ac:dyDescent="0.3">
      <c r="C821" s="14"/>
      <c r="E821" s="15"/>
      <c r="F821" s="15"/>
      <c r="G821" s="15"/>
      <c r="H821" s="15"/>
      <c r="I821" s="15"/>
      <c r="J821" s="15"/>
      <c r="M821" s="16"/>
      <c r="N821" s="17"/>
      <c r="P821" s="18"/>
    </row>
    <row r="822" spans="3:16" ht="15.75" customHeight="1" x14ac:dyDescent="0.3">
      <c r="C822" s="14"/>
      <c r="E822" s="15"/>
      <c r="F822" s="15"/>
      <c r="G822" s="15"/>
      <c r="H822" s="15"/>
      <c r="I822" s="15"/>
      <c r="J822" s="15"/>
      <c r="M822" s="16"/>
      <c r="N822" s="17"/>
      <c r="P822" s="18"/>
    </row>
    <row r="823" spans="3:16" ht="15.75" customHeight="1" x14ac:dyDescent="0.3">
      <c r="C823" s="14"/>
      <c r="E823" s="15"/>
      <c r="F823" s="15"/>
      <c r="G823" s="15"/>
      <c r="H823" s="15"/>
      <c r="I823" s="15"/>
      <c r="J823" s="15"/>
      <c r="M823" s="16"/>
      <c r="N823" s="17"/>
      <c r="P823" s="18"/>
    </row>
    <row r="824" spans="3:16" ht="15.75" customHeight="1" x14ac:dyDescent="0.3">
      <c r="C824" s="14"/>
      <c r="E824" s="15"/>
      <c r="F824" s="15"/>
      <c r="G824" s="15"/>
      <c r="H824" s="15"/>
      <c r="I824" s="15"/>
      <c r="J824" s="15"/>
      <c r="M824" s="16"/>
      <c r="N824" s="17"/>
      <c r="P824" s="18"/>
    </row>
    <row r="825" spans="3:16" ht="15.75" customHeight="1" x14ac:dyDescent="0.3">
      <c r="C825" s="14"/>
      <c r="E825" s="15"/>
      <c r="F825" s="15"/>
      <c r="G825" s="15"/>
      <c r="H825" s="15"/>
      <c r="I825" s="15"/>
      <c r="J825" s="15"/>
      <c r="M825" s="16"/>
      <c r="N825" s="17"/>
      <c r="P825" s="18"/>
    </row>
    <row r="826" spans="3:16" ht="15.75" customHeight="1" x14ac:dyDescent="0.3">
      <c r="C826" s="14"/>
      <c r="E826" s="15"/>
      <c r="F826" s="15"/>
      <c r="G826" s="15"/>
      <c r="H826" s="15"/>
      <c r="I826" s="15"/>
      <c r="J826" s="15"/>
      <c r="M826" s="16"/>
      <c r="N826" s="17"/>
      <c r="P826" s="18"/>
    </row>
    <row r="827" spans="3:16" ht="15.75" customHeight="1" x14ac:dyDescent="0.3">
      <c r="C827" s="14"/>
      <c r="E827" s="15"/>
      <c r="F827" s="15"/>
      <c r="G827" s="15"/>
      <c r="H827" s="15"/>
      <c r="I827" s="15"/>
      <c r="J827" s="15"/>
      <c r="M827" s="16"/>
      <c r="N827" s="17"/>
      <c r="P827" s="18"/>
    </row>
    <row r="828" spans="3:16" ht="15.75" customHeight="1" x14ac:dyDescent="0.3">
      <c r="C828" s="14"/>
      <c r="E828" s="15"/>
      <c r="F828" s="15"/>
      <c r="G828" s="15"/>
      <c r="H828" s="15"/>
      <c r="I828" s="15"/>
      <c r="J828" s="15"/>
      <c r="M828" s="16"/>
      <c r="N828" s="17"/>
      <c r="P828" s="18"/>
    </row>
    <row r="829" spans="3:16" ht="15.75" customHeight="1" x14ac:dyDescent="0.3">
      <c r="C829" s="14"/>
      <c r="E829" s="15"/>
      <c r="F829" s="15"/>
      <c r="G829" s="15"/>
      <c r="H829" s="15"/>
      <c r="I829" s="15"/>
      <c r="J829" s="15"/>
      <c r="M829" s="16"/>
      <c r="N829" s="17"/>
      <c r="P829" s="18"/>
    </row>
    <row r="830" spans="3:16" ht="15.75" customHeight="1" x14ac:dyDescent="0.3">
      <c r="C830" s="14"/>
      <c r="E830" s="15"/>
      <c r="F830" s="15"/>
      <c r="G830" s="15"/>
      <c r="H830" s="15"/>
      <c r="I830" s="15"/>
      <c r="J830" s="15"/>
      <c r="M830" s="16"/>
      <c r="N830" s="17"/>
      <c r="P830" s="18"/>
    </row>
    <row r="831" spans="3:16" ht="15.75" customHeight="1" x14ac:dyDescent="0.3">
      <c r="C831" s="14"/>
      <c r="E831" s="15"/>
      <c r="F831" s="15"/>
      <c r="G831" s="15"/>
      <c r="H831" s="15"/>
      <c r="I831" s="15"/>
      <c r="J831" s="15"/>
      <c r="M831" s="16"/>
      <c r="N831" s="17"/>
      <c r="P831" s="18"/>
    </row>
    <row r="832" spans="3:16" ht="15.75" customHeight="1" x14ac:dyDescent="0.3">
      <c r="C832" s="14"/>
      <c r="E832" s="15"/>
      <c r="F832" s="15"/>
      <c r="G832" s="15"/>
      <c r="H832" s="15"/>
      <c r="I832" s="15"/>
      <c r="J832" s="15"/>
      <c r="M832" s="16"/>
      <c r="N832" s="17"/>
      <c r="P832" s="18"/>
    </row>
    <row r="833" spans="3:16" ht="15.75" customHeight="1" x14ac:dyDescent="0.3">
      <c r="C833" s="14"/>
      <c r="E833" s="15"/>
      <c r="F833" s="15"/>
      <c r="G833" s="15"/>
      <c r="H833" s="15"/>
      <c r="I833" s="15"/>
      <c r="J833" s="15"/>
      <c r="M833" s="16"/>
      <c r="N833" s="17"/>
      <c r="P833" s="18"/>
    </row>
    <row r="834" spans="3:16" ht="15.75" customHeight="1" x14ac:dyDescent="0.3">
      <c r="C834" s="14"/>
      <c r="E834" s="15"/>
      <c r="F834" s="15"/>
      <c r="G834" s="15"/>
      <c r="H834" s="15"/>
      <c r="I834" s="15"/>
      <c r="J834" s="15"/>
      <c r="M834" s="16"/>
      <c r="N834" s="17"/>
      <c r="P834" s="18"/>
    </row>
    <row r="835" spans="3:16" ht="15.75" customHeight="1" x14ac:dyDescent="0.3">
      <c r="C835" s="14"/>
      <c r="E835" s="15"/>
      <c r="F835" s="15"/>
      <c r="G835" s="15"/>
      <c r="H835" s="15"/>
      <c r="I835" s="15"/>
      <c r="J835" s="15"/>
      <c r="M835" s="16"/>
      <c r="N835" s="17"/>
      <c r="P835" s="18"/>
    </row>
    <row r="836" spans="3:16" ht="15.75" customHeight="1" x14ac:dyDescent="0.3">
      <c r="C836" s="14"/>
      <c r="E836" s="15"/>
      <c r="F836" s="15"/>
      <c r="G836" s="15"/>
      <c r="H836" s="15"/>
      <c r="I836" s="15"/>
      <c r="J836" s="15"/>
      <c r="M836" s="16"/>
      <c r="N836" s="17"/>
      <c r="P836" s="18"/>
    </row>
    <row r="837" spans="3:16" ht="15.75" customHeight="1" x14ac:dyDescent="0.3">
      <c r="C837" s="14"/>
      <c r="E837" s="15"/>
      <c r="F837" s="15"/>
      <c r="G837" s="15"/>
      <c r="H837" s="15"/>
      <c r="I837" s="15"/>
      <c r="J837" s="15"/>
      <c r="M837" s="16"/>
      <c r="N837" s="17"/>
      <c r="P837" s="18"/>
    </row>
    <row r="838" spans="3:16" ht="15.75" customHeight="1" x14ac:dyDescent="0.3">
      <c r="C838" s="14"/>
      <c r="E838" s="15"/>
      <c r="F838" s="15"/>
      <c r="G838" s="15"/>
      <c r="H838" s="15"/>
      <c r="I838" s="15"/>
      <c r="J838" s="15"/>
      <c r="M838" s="16"/>
      <c r="N838" s="17"/>
      <c r="P838" s="18"/>
    </row>
    <row r="839" spans="3:16" ht="15.75" customHeight="1" x14ac:dyDescent="0.3">
      <c r="C839" s="14"/>
      <c r="E839" s="15"/>
      <c r="F839" s="15"/>
      <c r="G839" s="15"/>
      <c r="H839" s="15"/>
      <c r="I839" s="15"/>
      <c r="J839" s="15"/>
      <c r="M839" s="16"/>
      <c r="N839" s="17"/>
      <c r="P839" s="18"/>
    </row>
    <row r="840" spans="3:16" ht="15.75" customHeight="1" x14ac:dyDescent="0.3">
      <c r="C840" s="14"/>
      <c r="E840" s="15"/>
      <c r="F840" s="15"/>
      <c r="G840" s="15"/>
      <c r="H840" s="15"/>
      <c r="I840" s="15"/>
      <c r="J840" s="15"/>
      <c r="M840" s="16"/>
      <c r="N840" s="17"/>
      <c r="P840" s="18"/>
    </row>
    <row r="841" spans="3:16" ht="15.75" customHeight="1" x14ac:dyDescent="0.3">
      <c r="C841" s="14"/>
      <c r="E841" s="15"/>
      <c r="F841" s="15"/>
      <c r="G841" s="15"/>
      <c r="H841" s="15"/>
      <c r="I841" s="15"/>
      <c r="J841" s="15"/>
      <c r="M841" s="16"/>
      <c r="N841" s="17"/>
      <c r="P841" s="18"/>
    </row>
    <row r="842" spans="3:16" ht="15.75" customHeight="1" x14ac:dyDescent="0.3">
      <c r="C842" s="14"/>
      <c r="E842" s="15"/>
      <c r="F842" s="15"/>
      <c r="G842" s="15"/>
      <c r="H842" s="15"/>
      <c r="I842" s="15"/>
      <c r="J842" s="15"/>
      <c r="M842" s="16"/>
      <c r="N842" s="17"/>
      <c r="P842" s="18"/>
    </row>
    <row r="843" spans="3:16" ht="15.75" customHeight="1" x14ac:dyDescent="0.3">
      <c r="C843" s="14"/>
      <c r="E843" s="15"/>
      <c r="F843" s="15"/>
      <c r="G843" s="15"/>
      <c r="H843" s="15"/>
      <c r="I843" s="15"/>
      <c r="J843" s="15"/>
      <c r="M843" s="16"/>
      <c r="N843" s="17"/>
      <c r="P843" s="18"/>
    </row>
    <row r="844" spans="3:16" ht="15.75" customHeight="1" x14ac:dyDescent="0.3">
      <c r="C844" s="14"/>
      <c r="E844" s="15"/>
      <c r="F844" s="15"/>
      <c r="G844" s="15"/>
      <c r="H844" s="15"/>
      <c r="I844" s="15"/>
      <c r="J844" s="15"/>
      <c r="M844" s="16"/>
      <c r="N844" s="17"/>
      <c r="P844" s="18"/>
    </row>
    <row r="845" spans="3:16" ht="15.75" customHeight="1" x14ac:dyDescent="0.3">
      <c r="C845" s="14"/>
      <c r="E845" s="15"/>
      <c r="F845" s="15"/>
      <c r="G845" s="15"/>
      <c r="H845" s="15"/>
      <c r="I845" s="15"/>
      <c r="J845" s="15"/>
      <c r="M845" s="16"/>
      <c r="N845" s="17"/>
      <c r="P845" s="18"/>
    </row>
    <row r="846" spans="3:16" ht="15.75" customHeight="1" x14ac:dyDescent="0.3">
      <c r="C846" s="14"/>
      <c r="E846" s="15"/>
      <c r="F846" s="15"/>
      <c r="G846" s="15"/>
      <c r="H846" s="15"/>
      <c r="I846" s="15"/>
      <c r="J846" s="15"/>
      <c r="M846" s="16"/>
      <c r="N846" s="17"/>
      <c r="P846" s="18"/>
    </row>
    <row r="847" spans="3:16" ht="15.75" customHeight="1" x14ac:dyDescent="0.3">
      <c r="C847" s="14"/>
      <c r="E847" s="15"/>
      <c r="F847" s="15"/>
      <c r="G847" s="15"/>
      <c r="H847" s="15"/>
      <c r="I847" s="15"/>
      <c r="J847" s="15"/>
      <c r="M847" s="16"/>
      <c r="N847" s="17"/>
      <c r="P847" s="18"/>
    </row>
    <row r="848" spans="3:16" ht="15.75" customHeight="1" x14ac:dyDescent="0.3">
      <c r="C848" s="14"/>
      <c r="E848" s="15"/>
      <c r="F848" s="15"/>
      <c r="G848" s="15"/>
      <c r="H848" s="15"/>
      <c r="I848" s="15"/>
      <c r="J848" s="15"/>
      <c r="M848" s="16"/>
      <c r="N848" s="17"/>
      <c r="P848" s="18"/>
    </row>
    <row r="849" spans="3:16" ht="15.75" customHeight="1" x14ac:dyDescent="0.3">
      <c r="C849" s="14"/>
      <c r="E849" s="15"/>
      <c r="F849" s="15"/>
      <c r="G849" s="15"/>
      <c r="H849" s="15"/>
      <c r="I849" s="15"/>
      <c r="J849" s="15"/>
      <c r="M849" s="16"/>
      <c r="N849" s="17"/>
      <c r="P849" s="18"/>
    </row>
    <row r="850" spans="3:16" ht="15.75" customHeight="1" x14ac:dyDescent="0.3">
      <c r="C850" s="14"/>
      <c r="E850" s="15"/>
      <c r="F850" s="15"/>
      <c r="G850" s="15"/>
      <c r="H850" s="15"/>
      <c r="I850" s="15"/>
      <c r="J850" s="15"/>
      <c r="M850" s="16"/>
      <c r="N850" s="17"/>
      <c r="P850" s="18"/>
    </row>
    <row r="851" spans="3:16" ht="15.75" customHeight="1" x14ac:dyDescent="0.3">
      <c r="C851" s="14"/>
      <c r="E851" s="15"/>
      <c r="F851" s="15"/>
      <c r="G851" s="15"/>
      <c r="H851" s="15"/>
      <c r="I851" s="15"/>
      <c r="J851" s="15"/>
      <c r="M851" s="16"/>
      <c r="N851" s="17"/>
      <c r="P851" s="18"/>
    </row>
    <row r="852" spans="3:16" ht="15.75" customHeight="1" x14ac:dyDescent="0.3">
      <c r="C852" s="14"/>
      <c r="E852" s="15"/>
      <c r="F852" s="15"/>
      <c r="G852" s="15"/>
      <c r="H852" s="15"/>
      <c r="I852" s="15"/>
      <c r="J852" s="15"/>
      <c r="M852" s="16"/>
      <c r="N852" s="17"/>
      <c r="P852" s="18"/>
    </row>
    <row r="853" spans="3:16" ht="15.75" customHeight="1" x14ac:dyDescent="0.3">
      <c r="C853" s="14"/>
      <c r="E853" s="15"/>
      <c r="F853" s="15"/>
      <c r="G853" s="15"/>
      <c r="H853" s="15"/>
      <c r="I853" s="15"/>
      <c r="J853" s="15"/>
      <c r="M853" s="16"/>
      <c r="N853" s="17"/>
      <c r="P853" s="18"/>
    </row>
    <row r="854" spans="3:16" ht="15.75" customHeight="1" x14ac:dyDescent="0.3">
      <c r="C854" s="14"/>
      <c r="E854" s="15"/>
      <c r="F854" s="15"/>
      <c r="G854" s="15"/>
      <c r="H854" s="15"/>
      <c r="I854" s="15"/>
      <c r="J854" s="15"/>
      <c r="M854" s="16"/>
      <c r="N854" s="17"/>
      <c r="P854" s="18"/>
    </row>
    <row r="855" spans="3:16" ht="15.75" customHeight="1" x14ac:dyDescent="0.3">
      <c r="C855" s="14"/>
      <c r="E855" s="15"/>
      <c r="F855" s="15"/>
      <c r="G855" s="15"/>
      <c r="H855" s="15"/>
      <c r="I855" s="15"/>
      <c r="J855" s="15"/>
      <c r="M855" s="16"/>
      <c r="N855" s="17"/>
      <c r="P855" s="18"/>
    </row>
    <row r="856" spans="3:16" ht="15.75" customHeight="1" x14ac:dyDescent="0.3">
      <c r="C856" s="14"/>
      <c r="E856" s="15"/>
      <c r="F856" s="15"/>
      <c r="G856" s="15"/>
      <c r="H856" s="15"/>
      <c r="I856" s="15"/>
      <c r="J856" s="15"/>
      <c r="M856" s="16"/>
      <c r="N856" s="17"/>
      <c r="P856" s="18"/>
    </row>
    <row r="857" spans="3:16" ht="15.75" customHeight="1" x14ac:dyDescent="0.3">
      <c r="C857" s="14"/>
      <c r="E857" s="15"/>
      <c r="F857" s="15"/>
      <c r="G857" s="15"/>
      <c r="H857" s="15"/>
      <c r="I857" s="15"/>
      <c r="J857" s="15"/>
      <c r="M857" s="16"/>
      <c r="N857" s="17"/>
      <c r="P857" s="18"/>
    </row>
    <row r="858" spans="3:16" ht="15.75" customHeight="1" x14ac:dyDescent="0.3">
      <c r="C858" s="14"/>
      <c r="E858" s="15"/>
      <c r="F858" s="15"/>
      <c r="G858" s="15"/>
      <c r="H858" s="15"/>
      <c r="I858" s="15"/>
      <c r="J858" s="15"/>
      <c r="M858" s="16"/>
      <c r="N858" s="17"/>
      <c r="P858" s="18"/>
    </row>
    <row r="859" spans="3:16" ht="15.75" customHeight="1" x14ac:dyDescent="0.3">
      <c r="C859" s="14"/>
      <c r="E859" s="15"/>
      <c r="F859" s="15"/>
      <c r="G859" s="15"/>
      <c r="H859" s="15"/>
      <c r="I859" s="15"/>
      <c r="J859" s="15"/>
      <c r="M859" s="16"/>
      <c r="N859" s="17"/>
      <c r="P859" s="18"/>
    </row>
    <row r="860" spans="3:16" ht="15.75" customHeight="1" x14ac:dyDescent="0.3">
      <c r="C860" s="14"/>
      <c r="E860" s="15"/>
      <c r="F860" s="15"/>
      <c r="G860" s="15"/>
      <c r="H860" s="15"/>
      <c r="I860" s="15"/>
      <c r="J860" s="15"/>
      <c r="M860" s="16"/>
      <c r="N860" s="17"/>
      <c r="P860" s="18"/>
    </row>
    <row r="861" spans="3:16" ht="15.75" customHeight="1" x14ac:dyDescent="0.3">
      <c r="C861" s="14"/>
      <c r="E861" s="15"/>
      <c r="F861" s="15"/>
      <c r="G861" s="15"/>
      <c r="H861" s="15"/>
      <c r="I861" s="15"/>
      <c r="J861" s="15"/>
      <c r="M861" s="16"/>
      <c r="N861" s="17"/>
      <c r="P861" s="18"/>
    </row>
    <row r="862" spans="3:16" ht="15.75" customHeight="1" x14ac:dyDescent="0.3">
      <c r="C862" s="14"/>
      <c r="E862" s="15"/>
      <c r="F862" s="15"/>
      <c r="G862" s="15"/>
      <c r="H862" s="15"/>
      <c r="I862" s="15"/>
      <c r="J862" s="15"/>
      <c r="M862" s="16"/>
      <c r="N862" s="17"/>
      <c r="P862" s="18"/>
    </row>
    <row r="863" spans="3:16" ht="15.75" customHeight="1" x14ac:dyDescent="0.3">
      <c r="C863" s="14"/>
      <c r="E863" s="15"/>
      <c r="F863" s="15"/>
      <c r="G863" s="15"/>
      <c r="H863" s="15"/>
      <c r="I863" s="15"/>
      <c r="J863" s="15"/>
      <c r="M863" s="16"/>
      <c r="N863" s="17"/>
      <c r="P863" s="18"/>
    </row>
    <row r="864" spans="3:16" ht="15.75" customHeight="1" x14ac:dyDescent="0.3">
      <c r="C864" s="14"/>
      <c r="E864" s="15"/>
      <c r="F864" s="15"/>
      <c r="G864" s="15"/>
      <c r="H864" s="15"/>
      <c r="I864" s="15"/>
      <c r="J864" s="15"/>
      <c r="M864" s="16"/>
      <c r="N864" s="17"/>
      <c r="P864" s="18"/>
    </row>
    <row r="865" spans="3:16" ht="15.75" customHeight="1" x14ac:dyDescent="0.3">
      <c r="C865" s="14"/>
      <c r="E865" s="15"/>
      <c r="F865" s="15"/>
      <c r="G865" s="15"/>
      <c r="H865" s="15"/>
      <c r="I865" s="15"/>
      <c r="J865" s="15"/>
      <c r="M865" s="16"/>
      <c r="N865" s="17"/>
      <c r="P865" s="18"/>
    </row>
    <row r="866" spans="3:16" ht="15.75" customHeight="1" x14ac:dyDescent="0.3">
      <c r="C866" s="14"/>
      <c r="E866" s="15"/>
      <c r="F866" s="15"/>
      <c r="G866" s="15"/>
      <c r="H866" s="15"/>
      <c r="I866" s="15"/>
      <c r="J866" s="15"/>
      <c r="M866" s="16"/>
      <c r="N866" s="17"/>
      <c r="P866" s="18"/>
    </row>
    <row r="867" spans="3:16" ht="15.75" customHeight="1" x14ac:dyDescent="0.3">
      <c r="C867" s="14"/>
      <c r="E867" s="15"/>
      <c r="F867" s="15"/>
      <c r="G867" s="15"/>
      <c r="H867" s="15"/>
      <c r="I867" s="15"/>
      <c r="J867" s="15"/>
      <c r="M867" s="16"/>
      <c r="N867" s="17"/>
      <c r="P867" s="18"/>
    </row>
    <row r="868" spans="3:16" ht="15.75" customHeight="1" x14ac:dyDescent="0.3">
      <c r="C868" s="14"/>
      <c r="E868" s="15"/>
      <c r="F868" s="15"/>
      <c r="G868" s="15"/>
      <c r="H868" s="15"/>
      <c r="I868" s="15"/>
      <c r="J868" s="15"/>
      <c r="M868" s="16"/>
      <c r="N868" s="17"/>
      <c r="P868" s="18"/>
    </row>
    <row r="869" spans="3:16" ht="15.75" customHeight="1" x14ac:dyDescent="0.3">
      <c r="C869" s="14"/>
      <c r="E869" s="15"/>
      <c r="F869" s="15"/>
      <c r="G869" s="15"/>
      <c r="H869" s="15"/>
      <c r="I869" s="15"/>
      <c r="J869" s="15"/>
      <c r="M869" s="16"/>
      <c r="N869" s="17"/>
      <c r="P869" s="18"/>
    </row>
    <row r="870" spans="3:16" ht="15.75" customHeight="1" x14ac:dyDescent="0.3">
      <c r="C870" s="14"/>
      <c r="E870" s="15"/>
      <c r="F870" s="15"/>
      <c r="G870" s="15"/>
      <c r="H870" s="15"/>
      <c r="I870" s="15"/>
      <c r="J870" s="15"/>
      <c r="M870" s="16"/>
      <c r="N870" s="17"/>
      <c r="P870" s="18"/>
    </row>
    <row r="871" spans="3:16" ht="15.75" customHeight="1" x14ac:dyDescent="0.3">
      <c r="C871" s="14"/>
      <c r="E871" s="15"/>
      <c r="F871" s="15"/>
      <c r="G871" s="15"/>
      <c r="H871" s="15"/>
      <c r="I871" s="15"/>
      <c r="J871" s="15"/>
      <c r="M871" s="16"/>
      <c r="N871" s="17"/>
      <c r="P871" s="18"/>
    </row>
    <row r="872" spans="3:16" ht="15.75" customHeight="1" x14ac:dyDescent="0.3">
      <c r="C872" s="14"/>
      <c r="E872" s="15"/>
      <c r="F872" s="15"/>
      <c r="G872" s="15"/>
      <c r="H872" s="15"/>
      <c r="I872" s="15"/>
      <c r="J872" s="15"/>
      <c r="M872" s="16"/>
      <c r="N872" s="17"/>
      <c r="P872" s="18"/>
    </row>
    <row r="873" spans="3:16" ht="15.75" customHeight="1" x14ac:dyDescent="0.3">
      <c r="C873" s="14"/>
      <c r="E873" s="15"/>
      <c r="F873" s="15"/>
      <c r="G873" s="15"/>
      <c r="H873" s="15"/>
      <c r="I873" s="15"/>
      <c r="J873" s="15"/>
      <c r="M873" s="16"/>
      <c r="N873" s="17"/>
      <c r="P873" s="18"/>
    </row>
    <row r="874" spans="3:16" ht="15.75" customHeight="1" x14ac:dyDescent="0.3">
      <c r="C874" s="14"/>
      <c r="E874" s="15"/>
      <c r="F874" s="15"/>
      <c r="G874" s="15"/>
      <c r="H874" s="15"/>
      <c r="I874" s="15"/>
      <c r="J874" s="15"/>
      <c r="M874" s="16"/>
      <c r="N874" s="17"/>
      <c r="P874" s="18"/>
    </row>
    <row r="875" spans="3:16" ht="15.75" customHeight="1" x14ac:dyDescent="0.3">
      <c r="C875" s="14"/>
      <c r="E875" s="15"/>
      <c r="F875" s="15"/>
      <c r="G875" s="15"/>
      <c r="H875" s="15"/>
      <c r="I875" s="15"/>
      <c r="J875" s="15"/>
      <c r="M875" s="16"/>
      <c r="N875" s="17"/>
      <c r="P875" s="18"/>
    </row>
    <row r="876" spans="3:16" ht="15.75" customHeight="1" x14ac:dyDescent="0.3">
      <c r="C876" s="14"/>
      <c r="E876" s="15"/>
      <c r="F876" s="15"/>
      <c r="G876" s="15"/>
      <c r="H876" s="15"/>
      <c r="I876" s="15"/>
      <c r="J876" s="15"/>
      <c r="M876" s="16"/>
      <c r="N876" s="17"/>
      <c r="P876" s="18"/>
    </row>
    <row r="877" spans="3:16" ht="15.75" customHeight="1" x14ac:dyDescent="0.3">
      <c r="C877" s="14"/>
      <c r="E877" s="15"/>
      <c r="F877" s="15"/>
      <c r="G877" s="15"/>
      <c r="H877" s="15"/>
      <c r="I877" s="15"/>
      <c r="J877" s="15"/>
      <c r="M877" s="16"/>
      <c r="N877" s="17"/>
      <c r="P877" s="18"/>
    </row>
    <row r="878" spans="3:16" ht="15.75" customHeight="1" x14ac:dyDescent="0.3">
      <c r="C878" s="14"/>
      <c r="E878" s="15"/>
      <c r="F878" s="15"/>
      <c r="G878" s="15"/>
      <c r="H878" s="15"/>
      <c r="I878" s="15"/>
      <c r="J878" s="15"/>
      <c r="M878" s="16"/>
      <c r="N878" s="17"/>
      <c r="P878" s="18"/>
    </row>
    <row r="879" spans="3:16" ht="15.75" customHeight="1" x14ac:dyDescent="0.3">
      <c r="C879" s="14"/>
      <c r="E879" s="15"/>
      <c r="F879" s="15"/>
      <c r="G879" s="15"/>
      <c r="H879" s="15"/>
      <c r="I879" s="15"/>
      <c r="J879" s="15"/>
      <c r="M879" s="16"/>
      <c r="N879" s="17"/>
      <c r="P879" s="18"/>
    </row>
    <row r="880" spans="3:16" ht="15.75" customHeight="1" x14ac:dyDescent="0.3">
      <c r="C880" s="14"/>
      <c r="E880" s="15"/>
      <c r="F880" s="15"/>
      <c r="G880" s="15"/>
      <c r="H880" s="15"/>
      <c r="I880" s="15"/>
      <c r="J880" s="15"/>
      <c r="M880" s="16"/>
      <c r="N880" s="17"/>
      <c r="P880" s="18"/>
    </row>
    <row r="881" spans="3:16" ht="15.75" customHeight="1" x14ac:dyDescent="0.3">
      <c r="C881" s="14"/>
      <c r="E881" s="15"/>
      <c r="F881" s="15"/>
      <c r="G881" s="15"/>
      <c r="H881" s="15"/>
      <c r="I881" s="15"/>
      <c r="J881" s="15"/>
      <c r="M881" s="16"/>
      <c r="N881" s="17"/>
      <c r="P881" s="18"/>
    </row>
    <row r="882" spans="3:16" ht="15.75" customHeight="1" x14ac:dyDescent="0.3">
      <c r="C882" s="14"/>
      <c r="E882" s="15"/>
      <c r="F882" s="15"/>
      <c r="G882" s="15"/>
      <c r="H882" s="15"/>
      <c r="I882" s="15"/>
      <c r="J882" s="15"/>
      <c r="M882" s="16"/>
      <c r="N882" s="17"/>
      <c r="P882" s="18"/>
    </row>
    <row r="883" spans="3:16" ht="15.75" customHeight="1" x14ac:dyDescent="0.3">
      <c r="C883" s="14"/>
      <c r="E883" s="15"/>
      <c r="F883" s="15"/>
      <c r="G883" s="15"/>
      <c r="H883" s="15"/>
      <c r="I883" s="15"/>
      <c r="J883" s="15"/>
      <c r="M883" s="16"/>
      <c r="N883" s="17"/>
      <c r="P883" s="18"/>
    </row>
    <row r="884" spans="3:16" ht="15.75" customHeight="1" x14ac:dyDescent="0.3">
      <c r="C884" s="14"/>
      <c r="E884" s="15"/>
      <c r="F884" s="15"/>
      <c r="G884" s="15"/>
      <c r="H884" s="15"/>
      <c r="I884" s="15"/>
      <c r="J884" s="15"/>
      <c r="M884" s="16"/>
      <c r="N884" s="17"/>
      <c r="P884" s="18"/>
    </row>
    <row r="885" spans="3:16" ht="15.75" customHeight="1" x14ac:dyDescent="0.3">
      <c r="C885" s="14"/>
      <c r="E885" s="15"/>
      <c r="F885" s="15"/>
      <c r="G885" s="15"/>
      <c r="H885" s="15"/>
      <c r="I885" s="15"/>
      <c r="J885" s="15"/>
      <c r="M885" s="16"/>
      <c r="N885" s="17"/>
      <c r="P885" s="18"/>
    </row>
    <row r="886" spans="3:16" ht="15.75" customHeight="1" x14ac:dyDescent="0.3">
      <c r="C886" s="14"/>
      <c r="E886" s="15"/>
      <c r="F886" s="15"/>
      <c r="G886" s="15"/>
      <c r="H886" s="15"/>
      <c r="I886" s="15"/>
      <c r="J886" s="15"/>
      <c r="M886" s="16"/>
      <c r="N886" s="17"/>
      <c r="P886" s="18"/>
    </row>
    <row r="887" spans="3:16" ht="15.75" customHeight="1" x14ac:dyDescent="0.3">
      <c r="C887" s="14"/>
      <c r="E887" s="15"/>
      <c r="F887" s="15"/>
      <c r="G887" s="15"/>
      <c r="H887" s="15"/>
      <c r="I887" s="15"/>
      <c r="J887" s="15"/>
      <c r="M887" s="16"/>
      <c r="N887" s="17"/>
      <c r="P887" s="18"/>
    </row>
    <row r="888" spans="3:16" ht="15.75" customHeight="1" x14ac:dyDescent="0.3">
      <c r="C888" s="14"/>
      <c r="E888" s="15"/>
      <c r="F888" s="15"/>
      <c r="G888" s="15"/>
      <c r="H888" s="15"/>
      <c r="I888" s="15"/>
      <c r="J888" s="15"/>
      <c r="M888" s="16"/>
      <c r="N888" s="17"/>
      <c r="P888" s="18"/>
    </row>
    <row r="889" spans="3:16" ht="15.75" customHeight="1" x14ac:dyDescent="0.3">
      <c r="C889" s="14"/>
      <c r="E889" s="15"/>
      <c r="F889" s="15"/>
      <c r="G889" s="15"/>
      <c r="H889" s="15"/>
      <c r="I889" s="15"/>
      <c r="J889" s="15"/>
      <c r="M889" s="16"/>
      <c r="N889" s="17"/>
      <c r="P889" s="18"/>
    </row>
    <row r="890" spans="3:16" ht="15.75" customHeight="1" x14ac:dyDescent="0.3">
      <c r="C890" s="14"/>
      <c r="E890" s="15"/>
      <c r="F890" s="15"/>
      <c r="G890" s="15"/>
      <c r="H890" s="15"/>
      <c r="I890" s="15"/>
      <c r="J890" s="15"/>
      <c r="M890" s="16"/>
      <c r="N890" s="17"/>
      <c r="P890" s="18"/>
    </row>
    <row r="891" spans="3:16" ht="15.75" customHeight="1" x14ac:dyDescent="0.3">
      <c r="C891" s="14"/>
      <c r="E891" s="15"/>
      <c r="F891" s="15"/>
      <c r="G891" s="15"/>
      <c r="H891" s="15"/>
      <c r="I891" s="15"/>
      <c r="J891" s="15"/>
      <c r="M891" s="16"/>
      <c r="N891" s="17"/>
      <c r="P891" s="18"/>
    </row>
    <row r="892" spans="3:16" ht="15.75" customHeight="1" x14ac:dyDescent="0.3">
      <c r="C892" s="14"/>
      <c r="E892" s="15"/>
      <c r="F892" s="15"/>
      <c r="G892" s="15"/>
      <c r="H892" s="15"/>
      <c r="I892" s="15"/>
      <c r="J892" s="15"/>
      <c r="M892" s="16"/>
      <c r="N892" s="17"/>
      <c r="P892" s="18"/>
    </row>
    <row r="893" spans="3:16" ht="15.75" customHeight="1" x14ac:dyDescent="0.3">
      <c r="C893" s="14"/>
      <c r="E893" s="15"/>
      <c r="F893" s="15"/>
      <c r="G893" s="15"/>
      <c r="H893" s="15"/>
      <c r="I893" s="15"/>
      <c r="J893" s="15"/>
      <c r="M893" s="16"/>
      <c r="N893" s="17"/>
      <c r="P893" s="18"/>
    </row>
    <row r="894" spans="3:16" ht="15.75" customHeight="1" x14ac:dyDescent="0.3">
      <c r="C894" s="14"/>
      <c r="E894" s="15"/>
      <c r="F894" s="15"/>
      <c r="G894" s="15"/>
      <c r="H894" s="15"/>
      <c r="I894" s="15"/>
      <c r="J894" s="15"/>
      <c r="M894" s="16"/>
      <c r="N894" s="17"/>
      <c r="P894" s="18"/>
    </row>
    <row r="895" spans="3:16" ht="15.75" customHeight="1" x14ac:dyDescent="0.3">
      <c r="C895" s="14"/>
      <c r="E895" s="15"/>
      <c r="F895" s="15"/>
      <c r="G895" s="15"/>
      <c r="H895" s="15"/>
      <c r="I895" s="15"/>
      <c r="J895" s="15"/>
      <c r="M895" s="16"/>
      <c r="N895" s="17"/>
      <c r="P895" s="18"/>
    </row>
    <row r="896" spans="3:16" ht="15.75" customHeight="1" x14ac:dyDescent="0.3">
      <c r="C896" s="14"/>
      <c r="E896" s="15"/>
      <c r="F896" s="15"/>
      <c r="G896" s="15"/>
      <c r="H896" s="15"/>
      <c r="I896" s="15"/>
      <c r="J896" s="15"/>
      <c r="M896" s="16"/>
      <c r="N896" s="17"/>
      <c r="P896" s="18"/>
    </row>
    <row r="897" spans="3:16" ht="15.75" customHeight="1" x14ac:dyDescent="0.3">
      <c r="C897" s="14"/>
      <c r="E897" s="15"/>
      <c r="F897" s="15"/>
      <c r="G897" s="15"/>
      <c r="H897" s="15"/>
      <c r="I897" s="15"/>
      <c r="J897" s="15"/>
      <c r="M897" s="16"/>
      <c r="N897" s="17"/>
      <c r="P897" s="18"/>
    </row>
    <row r="898" spans="3:16" ht="15.75" customHeight="1" x14ac:dyDescent="0.3">
      <c r="C898" s="14"/>
      <c r="E898" s="15"/>
      <c r="F898" s="15"/>
      <c r="G898" s="15"/>
      <c r="H898" s="15"/>
      <c r="I898" s="15"/>
      <c r="J898" s="15"/>
      <c r="M898" s="16"/>
      <c r="N898" s="17"/>
      <c r="P898" s="18"/>
    </row>
    <row r="899" spans="3:16" ht="15.75" customHeight="1" x14ac:dyDescent="0.3">
      <c r="C899" s="14"/>
      <c r="E899" s="15"/>
      <c r="F899" s="15"/>
      <c r="G899" s="15"/>
      <c r="H899" s="15"/>
      <c r="I899" s="15"/>
      <c r="J899" s="15"/>
      <c r="M899" s="16"/>
      <c r="N899" s="17"/>
      <c r="P899" s="18"/>
    </row>
    <row r="900" spans="3:16" ht="15.75" customHeight="1" x14ac:dyDescent="0.3">
      <c r="C900" s="14"/>
      <c r="E900" s="15"/>
      <c r="F900" s="15"/>
      <c r="G900" s="15"/>
      <c r="H900" s="15"/>
      <c r="I900" s="15"/>
      <c r="J900" s="15"/>
      <c r="M900" s="16"/>
      <c r="N900" s="17"/>
      <c r="P900" s="18"/>
    </row>
    <row r="901" spans="3:16" ht="15.75" customHeight="1" x14ac:dyDescent="0.3">
      <c r="C901" s="14"/>
      <c r="E901" s="15"/>
      <c r="F901" s="15"/>
      <c r="G901" s="15"/>
      <c r="H901" s="15"/>
      <c r="I901" s="15"/>
      <c r="J901" s="15"/>
      <c r="M901" s="16"/>
      <c r="N901" s="17"/>
      <c r="P901" s="18"/>
    </row>
    <row r="902" spans="3:16" ht="15.75" customHeight="1" x14ac:dyDescent="0.3">
      <c r="C902" s="14"/>
      <c r="E902" s="15"/>
      <c r="F902" s="15"/>
      <c r="G902" s="15"/>
      <c r="H902" s="15"/>
      <c r="I902" s="15"/>
      <c r="J902" s="15"/>
      <c r="M902" s="16"/>
      <c r="N902" s="17"/>
      <c r="P902" s="18"/>
    </row>
    <row r="903" spans="3:16" ht="15.75" customHeight="1" x14ac:dyDescent="0.3">
      <c r="C903" s="14"/>
      <c r="E903" s="15"/>
      <c r="F903" s="15"/>
      <c r="G903" s="15"/>
      <c r="H903" s="15"/>
      <c r="I903" s="15"/>
      <c r="J903" s="15"/>
      <c r="M903" s="16"/>
      <c r="N903" s="17"/>
      <c r="P903" s="18"/>
    </row>
    <row r="904" spans="3:16" ht="15.75" customHeight="1" x14ac:dyDescent="0.3">
      <c r="C904" s="14"/>
      <c r="E904" s="15"/>
      <c r="F904" s="15"/>
      <c r="G904" s="15"/>
      <c r="H904" s="15"/>
      <c r="I904" s="15"/>
      <c r="J904" s="15"/>
      <c r="M904" s="16"/>
      <c r="N904" s="17"/>
      <c r="P904" s="18"/>
    </row>
    <row r="905" spans="3:16" ht="15.75" customHeight="1" x14ac:dyDescent="0.3">
      <c r="C905" s="14"/>
      <c r="E905" s="15"/>
      <c r="F905" s="15"/>
      <c r="G905" s="15"/>
      <c r="H905" s="15"/>
      <c r="I905" s="15"/>
      <c r="J905" s="15"/>
      <c r="M905" s="16"/>
      <c r="N905" s="17"/>
      <c r="P905" s="18"/>
    </row>
    <row r="906" spans="3:16" ht="15.75" customHeight="1" x14ac:dyDescent="0.3">
      <c r="C906" s="14"/>
      <c r="E906" s="15"/>
      <c r="F906" s="15"/>
      <c r="G906" s="15"/>
      <c r="H906" s="15"/>
      <c r="I906" s="15"/>
      <c r="J906" s="15"/>
      <c r="M906" s="16"/>
      <c r="N906" s="17"/>
      <c r="P906" s="18"/>
    </row>
    <row r="907" spans="3:16" ht="15.75" customHeight="1" x14ac:dyDescent="0.3">
      <c r="C907" s="14"/>
      <c r="E907" s="15"/>
      <c r="F907" s="15"/>
      <c r="G907" s="15"/>
      <c r="H907" s="15"/>
      <c r="I907" s="15"/>
      <c r="J907" s="15"/>
      <c r="M907" s="16"/>
      <c r="N907" s="17"/>
      <c r="P907" s="18"/>
    </row>
    <row r="908" spans="3:16" ht="15.75" customHeight="1" x14ac:dyDescent="0.3">
      <c r="C908" s="14"/>
      <c r="E908" s="15"/>
      <c r="F908" s="15"/>
      <c r="G908" s="15"/>
      <c r="H908" s="15"/>
      <c r="I908" s="15"/>
      <c r="J908" s="15"/>
      <c r="M908" s="16"/>
      <c r="N908" s="17"/>
      <c r="P908" s="18"/>
    </row>
    <row r="909" spans="3:16" ht="15.75" customHeight="1" x14ac:dyDescent="0.3">
      <c r="C909" s="14"/>
      <c r="E909" s="15"/>
      <c r="F909" s="15"/>
      <c r="G909" s="15"/>
      <c r="H909" s="15"/>
      <c r="I909" s="15"/>
      <c r="J909" s="15"/>
      <c r="M909" s="16"/>
      <c r="N909" s="17"/>
      <c r="P909" s="18"/>
    </row>
    <row r="910" spans="3:16" ht="15.75" customHeight="1" x14ac:dyDescent="0.3">
      <c r="C910" s="14"/>
      <c r="E910" s="15"/>
      <c r="F910" s="15"/>
      <c r="G910" s="15"/>
      <c r="H910" s="15"/>
      <c r="I910" s="15"/>
      <c r="J910" s="15"/>
      <c r="M910" s="16"/>
      <c r="N910" s="17"/>
      <c r="P910" s="18"/>
    </row>
    <row r="911" spans="3:16" ht="15.75" customHeight="1" x14ac:dyDescent="0.3">
      <c r="C911" s="14"/>
      <c r="E911" s="15"/>
      <c r="F911" s="15"/>
      <c r="G911" s="15"/>
      <c r="H911" s="15"/>
      <c r="I911" s="15"/>
      <c r="J911" s="15"/>
      <c r="M911" s="16"/>
      <c r="N911" s="17"/>
      <c r="P911" s="18"/>
    </row>
    <row r="912" spans="3:16" ht="15.75" customHeight="1" x14ac:dyDescent="0.3">
      <c r="C912" s="14"/>
      <c r="E912" s="15"/>
      <c r="F912" s="15"/>
      <c r="G912" s="15"/>
      <c r="H912" s="15"/>
      <c r="I912" s="15"/>
      <c r="J912" s="15"/>
      <c r="M912" s="16"/>
      <c r="N912" s="17"/>
      <c r="P912" s="18"/>
    </row>
    <row r="913" spans="3:16" ht="15.75" customHeight="1" x14ac:dyDescent="0.3">
      <c r="C913" s="14"/>
      <c r="E913" s="15"/>
      <c r="F913" s="15"/>
      <c r="G913" s="15"/>
      <c r="H913" s="15"/>
      <c r="I913" s="15"/>
      <c r="J913" s="15"/>
      <c r="M913" s="16"/>
      <c r="N913" s="17"/>
      <c r="P913" s="18"/>
    </row>
    <row r="914" spans="3:16" ht="15.75" customHeight="1" x14ac:dyDescent="0.3">
      <c r="C914" s="14"/>
      <c r="E914" s="15"/>
      <c r="F914" s="15"/>
      <c r="G914" s="15"/>
      <c r="H914" s="15"/>
      <c r="I914" s="15"/>
      <c r="J914" s="15"/>
      <c r="M914" s="16"/>
      <c r="N914" s="17"/>
      <c r="P914" s="18"/>
    </row>
    <row r="915" spans="3:16" ht="15.75" customHeight="1" x14ac:dyDescent="0.3">
      <c r="C915" s="14"/>
      <c r="E915" s="15"/>
      <c r="F915" s="15"/>
      <c r="G915" s="15"/>
      <c r="H915" s="15"/>
      <c r="I915" s="15"/>
      <c r="J915" s="15"/>
      <c r="M915" s="16"/>
      <c r="N915" s="17"/>
      <c r="P915" s="18"/>
    </row>
    <row r="916" spans="3:16" ht="15.75" customHeight="1" x14ac:dyDescent="0.3">
      <c r="C916" s="14"/>
      <c r="E916" s="15"/>
      <c r="F916" s="15"/>
      <c r="G916" s="15"/>
      <c r="H916" s="15"/>
      <c r="I916" s="15"/>
      <c r="J916" s="15"/>
      <c r="M916" s="16"/>
      <c r="N916" s="17"/>
      <c r="P916" s="18"/>
    </row>
    <row r="917" spans="3:16" ht="15.75" customHeight="1" x14ac:dyDescent="0.3">
      <c r="C917" s="14"/>
      <c r="E917" s="15"/>
      <c r="F917" s="15"/>
      <c r="G917" s="15"/>
      <c r="H917" s="15"/>
      <c r="I917" s="15"/>
      <c r="J917" s="15"/>
      <c r="M917" s="16"/>
      <c r="N917" s="17"/>
      <c r="P917" s="18"/>
    </row>
    <row r="918" spans="3:16" ht="15.75" customHeight="1" x14ac:dyDescent="0.3">
      <c r="C918" s="14"/>
      <c r="E918" s="15"/>
      <c r="F918" s="15"/>
      <c r="G918" s="15"/>
      <c r="H918" s="15"/>
      <c r="I918" s="15"/>
      <c r="J918" s="15"/>
      <c r="M918" s="16"/>
      <c r="N918" s="17"/>
      <c r="P918" s="18"/>
    </row>
    <row r="919" spans="3:16" ht="15.75" customHeight="1" x14ac:dyDescent="0.3">
      <c r="C919" s="14"/>
      <c r="E919" s="15"/>
      <c r="F919" s="15"/>
      <c r="G919" s="15"/>
      <c r="H919" s="15"/>
      <c r="I919" s="15"/>
      <c r="J919" s="15"/>
      <c r="M919" s="16"/>
      <c r="N919" s="17"/>
      <c r="P919" s="18"/>
    </row>
    <row r="920" spans="3:16" ht="15.75" customHeight="1" x14ac:dyDescent="0.3">
      <c r="C920" s="14"/>
      <c r="E920" s="15"/>
      <c r="F920" s="15"/>
      <c r="G920" s="15"/>
      <c r="H920" s="15"/>
      <c r="I920" s="15"/>
      <c r="J920" s="15"/>
      <c r="M920" s="16"/>
      <c r="N920" s="17"/>
      <c r="P920" s="18"/>
    </row>
    <row r="921" spans="3:16" ht="15.75" customHeight="1" x14ac:dyDescent="0.3">
      <c r="C921" s="14"/>
      <c r="E921" s="15"/>
      <c r="F921" s="15"/>
      <c r="G921" s="15"/>
      <c r="H921" s="15"/>
      <c r="I921" s="15"/>
      <c r="J921" s="15"/>
      <c r="M921" s="16"/>
      <c r="N921" s="17"/>
      <c r="P921" s="18"/>
    </row>
    <row r="922" spans="3:16" ht="15.75" customHeight="1" x14ac:dyDescent="0.3">
      <c r="C922" s="14"/>
      <c r="E922" s="15"/>
      <c r="F922" s="15"/>
      <c r="G922" s="15"/>
      <c r="H922" s="15"/>
      <c r="I922" s="15"/>
      <c r="J922" s="15"/>
      <c r="M922" s="16"/>
      <c r="N922" s="17"/>
      <c r="P922" s="18"/>
    </row>
    <row r="923" spans="3:16" ht="15.75" customHeight="1" x14ac:dyDescent="0.3">
      <c r="C923" s="14"/>
      <c r="E923" s="15"/>
      <c r="F923" s="15"/>
      <c r="G923" s="15"/>
      <c r="H923" s="15"/>
      <c r="I923" s="15"/>
      <c r="J923" s="15"/>
      <c r="M923" s="16"/>
      <c r="N923" s="17"/>
      <c r="P923" s="18"/>
    </row>
    <row r="924" spans="3:16" ht="15.75" customHeight="1" x14ac:dyDescent="0.3">
      <c r="C924" s="14"/>
      <c r="E924" s="15"/>
      <c r="F924" s="15"/>
      <c r="G924" s="15"/>
      <c r="H924" s="15"/>
      <c r="I924" s="15"/>
      <c r="J924" s="15"/>
      <c r="M924" s="16"/>
      <c r="N924" s="17"/>
      <c r="P924" s="18"/>
    </row>
    <row r="925" spans="3:16" ht="15.75" customHeight="1" x14ac:dyDescent="0.3">
      <c r="C925" s="14"/>
      <c r="E925" s="15"/>
      <c r="F925" s="15"/>
      <c r="G925" s="15"/>
      <c r="H925" s="15"/>
      <c r="I925" s="15"/>
      <c r="J925" s="15"/>
      <c r="M925" s="16"/>
      <c r="N925" s="17"/>
      <c r="P925" s="18"/>
    </row>
    <row r="926" spans="3:16" ht="15.75" customHeight="1" x14ac:dyDescent="0.3">
      <c r="C926" s="14"/>
      <c r="E926" s="15"/>
      <c r="F926" s="15"/>
      <c r="G926" s="15"/>
      <c r="H926" s="15"/>
      <c r="I926" s="15"/>
      <c r="J926" s="15"/>
      <c r="M926" s="16"/>
      <c r="N926" s="17"/>
      <c r="P926" s="18"/>
    </row>
    <row r="927" spans="3:16" ht="15.75" customHeight="1" x14ac:dyDescent="0.3">
      <c r="C927" s="14"/>
      <c r="E927" s="15"/>
      <c r="F927" s="15"/>
      <c r="G927" s="15"/>
      <c r="H927" s="15"/>
      <c r="I927" s="15"/>
      <c r="J927" s="15"/>
      <c r="M927" s="16"/>
      <c r="N927" s="17"/>
      <c r="P927" s="18"/>
    </row>
    <row r="928" spans="3:16" ht="15.75" customHeight="1" x14ac:dyDescent="0.3">
      <c r="C928" s="14"/>
      <c r="E928" s="15"/>
      <c r="F928" s="15"/>
      <c r="G928" s="15"/>
      <c r="H928" s="15"/>
      <c r="I928" s="15"/>
      <c r="J928" s="15"/>
      <c r="M928" s="16"/>
      <c r="N928" s="17"/>
      <c r="P928" s="18"/>
    </row>
    <row r="929" spans="3:16" ht="15.75" customHeight="1" x14ac:dyDescent="0.3">
      <c r="C929" s="14"/>
      <c r="E929" s="15"/>
      <c r="F929" s="15"/>
      <c r="G929" s="15"/>
      <c r="H929" s="15"/>
      <c r="I929" s="15"/>
      <c r="J929" s="15"/>
      <c r="M929" s="16"/>
      <c r="N929" s="17"/>
      <c r="P929" s="18"/>
    </row>
    <row r="930" spans="3:16" ht="15.75" customHeight="1" x14ac:dyDescent="0.3">
      <c r="C930" s="14"/>
      <c r="E930" s="15"/>
      <c r="F930" s="15"/>
      <c r="G930" s="15"/>
      <c r="H930" s="15"/>
      <c r="I930" s="15"/>
      <c r="J930" s="15"/>
      <c r="M930" s="16"/>
      <c r="N930" s="17"/>
      <c r="P930" s="18"/>
    </row>
    <row r="931" spans="3:16" ht="15.75" customHeight="1" x14ac:dyDescent="0.3">
      <c r="C931" s="14"/>
      <c r="E931" s="15"/>
      <c r="F931" s="15"/>
      <c r="G931" s="15"/>
      <c r="H931" s="15"/>
      <c r="I931" s="15"/>
      <c r="J931" s="15"/>
      <c r="M931" s="16"/>
      <c r="N931" s="17"/>
      <c r="P931" s="18"/>
    </row>
    <row r="932" spans="3:16" ht="15.75" customHeight="1" x14ac:dyDescent="0.3">
      <c r="C932" s="14"/>
      <c r="E932" s="15"/>
      <c r="F932" s="15"/>
      <c r="G932" s="15"/>
      <c r="H932" s="15"/>
      <c r="I932" s="15"/>
      <c r="J932" s="15"/>
      <c r="M932" s="16"/>
      <c r="N932" s="17"/>
      <c r="P932" s="18"/>
    </row>
    <row r="933" spans="3:16" ht="15.75" customHeight="1" x14ac:dyDescent="0.3">
      <c r="C933" s="14"/>
      <c r="E933" s="15"/>
      <c r="F933" s="15"/>
      <c r="G933" s="15"/>
      <c r="H933" s="15"/>
      <c r="I933" s="15"/>
      <c r="J933" s="15"/>
      <c r="M933" s="16"/>
      <c r="N933" s="17"/>
      <c r="P933" s="18"/>
    </row>
    <row r="934" spans="3:16" ht="15.75" customHeight="1" x14ac:dyDescent="0.3">
      <c r="C934" s="14"/>
      <c r="E934" s="15"/>
      <c r="F934" s="15"/>
      <c r="G934" s="15"/>
      <c r="H934" s="15"/>
      <c r="I934" s="15"/>
      <c r="J934" s="15"/>
      <c r="M934" s="16"/>
      <c r="N934" s="17"/>
      <c r="P934" s="18"/>
    </row>
    <row r="935" spans="3:16" ht="15.75" customHeight="1" x14ac:dyDescent="0.3">
      <c r="C935" s="14"/>
      <c r="E935" s="15"/>
      <c r="F935" s="15"/>
      <c r="G935" s="15"/>
      <c r="H935" s="15"/>
      <c r="I935" s="15"/>
      <c r="J935" s="15"/>
      <c r="M935" s="16"/>
      <c r="N935" s="17"/>
      <c r="P935" s="18"/>
    </row>
    <row r="936" spans="3:16" ht="15.75" customHeight="1" x14ac:dyDescent="0.3">
      <c r="C936" s="14"/>
      <c r="E936" s="15"/>
      <c r="F936" s="15"/>
      <c r="G936" s="15"/>
      <c r="H936" s="15"/>
      <c r="I936" s="15"/>
      <c r="J936" s="15"/>
      <c r="M936" s="16"/>
      <c r="N936" s="17"/>
      <c r="P936" s="18"/>
    </row>
    <row r="937" spans="3:16" ht="15.75" customHeight="1" x14ac:dyDescent="0.3">
      <c r="C937" s="14"/>
      <c r="E937" s="15"/>
      <c r="F937" s="15"/>
      <c r="G937" s="15"/>
      <c r="H937" s="15"/>
      <c r="I937" s="15"/>
      <c r="J937" s="15"/>
      <c r="M937" s="16"/>
      <c r="N937" s="17"/>
      <c r="P937" s="18"/>
    </row>
    <row r="938" spans="3:16" ht="15.75" customHeight="1" x14ac:dyDescent="0.3">
      <c r="C938" s="14"/>
      <c r="E938" s="15"/>
      <c r="F938" s="15"/>
      <c r="G938" s="15"/>
      <c r="H938" s="15"/>
      <c r="I938" s="15"/>
      <c r="J938" s="15"/>
      <c r="M938" s="16"/>
      <c r="N938" s="17"/>
      <c r="P938" s="18"/>
    </row>
    <row r="939" spans="3:16" ht="15.75" customHeight="1" x14ac:dyDescent="0.3">
      <c r="C939" s="14"/>
      <c r="E939" s="15"/>
      <c r="F939" s="15"/>
      <c r="G939" s="15"/>
      <c r="H939" s="15"/>
      <c r="I939" s="15"/>
      <c r="J939" s="15"/>
      <c r="M939" s="16"/>
      <c r="N939" s="17"/>
      <c r="P939" s="18"/>
    </row>
    <row r="940" spans="3:16" ht="15.75" customHeight="1" x14ac:dyDescent="0.3">
      <c r="C940" s="14"/>
      <c r="E940" s="15"/>
      <c r="F940" s="15"/>
      <c r="G940" s="15"/>
      <c r="H940" s="15"/>
      <c r="I940" s="15"/>
      <c r="J940" s="15"/>
      <c r="M940" s="16"/>
      <c r="N940" s="17"/>
      <c r="P940" s="18"/>
    </row>
    <row r="941" spans="3:16" ht="15.75" customHeight="1" x14ac:dyDescent="0.3">
      <c r="C941" s="14"/>
      <c r="E941" s="15"/>
      <c r="F941" s="15"/>
      <c r="G941" s="15"/>
      <c r="H941" s="15"/>
      <c r="I941" s="15"/>
      <c r="J941" s="15"/>
      <c r="M941" s="16"/>
      <c r="N941" s="17"/>
      <c r="P941" s="18"/>
    </row>
    <row r="942" spans="3:16" ht="15.75" customHeight="1" x14ac:dyDescent="0.3">
      <c r="C942" s="14"/>
      <c r="E942" s="15"/>
      <c r="F942" s="15"/>
      <c r="G942" s="15"/>
      <c r="H942" s="15"/>
      <c r="I942" s="15"/>
      <c r="J942" s="15"/>
      <c r="M942" s="16"/>
      <c r="N942" s="17"/>
      <c r="P942" s="18"/>
    </row>
    <row r="943" spans="3:16" ht="15.75" customHeight="1" x14ac:dyDescent="0.3">
      <c r="C943" s="14"/>
      <c r="E943" s="15"/>
      <c r="F943" s="15"/>
      <c r="G943" s="15"/>
      <c r="H943" s="15"/>
      <c r="I943" s="15"/>
      <c r="J943" s="15"/>
      <c r="M943" s="16"/>
      <c r="N943" s="17"/>
      <c r="P943" s="18"/>
    </row>
    <row r="944" spans="3:16" ht="15.75" customHeight="1" x14ac:dyDescent="0.3">
      <c r="C944" s="14"/>
      <c r="E944" s="15"/>
      <c r="F944" s="15"/>
      <c r="G944" s="15"/>
      <c r="H944" s="15"/>
      <c r="I944" s="15"/>
      <c r="J944" s="15"/>
      <c r="M944" s="16"/>
      <c r="N944" s="17"/>
      <c r="P944" s="18"/>
    </row>
    <row r="945" spans="3:16" ht="15.75" customHeight="1" x14ac:dyDescent="0.3">
      <c r="C945" s="14"/>
      <c r="E945" s="15"/>
      <c r="F945" s="15"/>
      <c r="G945" s="15"/>
      <c r="H945" s="15"/>
      <c r="I945" s="15"/>
      <c r="J945" s="15"/>
      <c r="M945" s="16"/>
      <c r="N945" s="17"/>
      <c r="P945" s="18"/>
    </row>
    <row r="946" spans="3:16" ht="15.75" customHeight="1" x14ac:dyDescent="0.3">
      <c r="C946" s="14"/>
      <c r="E946" s="15"/>
      <c r="F946" s="15"/>
      <c r="G946" s="15"/>
      <c r="H946" s="15"/>
      <c r="I946" s="15"/>
      <c r="J946" s="15"/>
      <c r="M946" s="16"/>
      <c r="N946" s="17"/>
      <c r="P946" s="18"/>
    </row>
    <row r="947" spans="3:16" ht="15.75" customHeight="1" x14ac:dyDescent="0.3">
      <c r="C947" s="14"/>
      <c r="E947" s="15"/>
      <c r="F947" s="15"/>
      <c r="G947" s="15"/>
      <c r="H947" s="15"/>
      <c r="I947" s="15"/>
      <c r="J947" s="15"/>
      <c r="M947" s="16"/>
      <c r="N947" s="17"/>
      <c r="P947" s="18"/>
    </row>
    <row r="948" spans="3:16" ht="15.75" customHeight="1" x14ac:dyDescent="0.3">
      <c r="C948" s="14"/>
      <c r="E948" s="15"/>
      <c r="F948" s="15"/>
      <c r="G948" s="15"/>
      <c r="H948" s="15"/>
      <c r="I948" s="15"/>
      <c r="J948" s="15"/>
      <c r="M948" s="16"/>
      <c r="N948" s="17"/>
      <c r="P948" s="18"/>
    </row>
    <row r="949" spans="3:16" ht="15.75" customHeight="1" x14ac:dyDescent="0.3">
      <c r="C949" s="14"/>
      <c r="E949" s="15"/>
      <c r="F949" s="15"/>
      <c r="G949" s="15"/>
      <c r="H949" s="15"/>
      <c r="I949" s="15"/>
      <c r="J949" s="15"/>
      <c r="M949" s="16"/>
      <c r="N949" s="17"/>
      <c r="P949" s="18"/>
    </row>
    <row r="950" spans="3:16" ht="15.75" customHeight="1" x14ac:dyDescent="0.3">
      <c r="C950" s="14"/>
      <c r="E950" s="15"/>
      <c r="F950" s="15"/>
      <c r="G950" s="15"/>
      <c r="H950" s="15"/>
      <c r="I950" s="15"/>
      <c r="J950" s="15"/>
      <c r="M950" s="16"/>
      <c r="N950" s="17"/>
      <c r="P950" s="18"/>
    </row>
    <row r="951" spans="3:16" ht="15.75" customHeight="1" x14ac:dyDescent="0.3">
      <c r="C951" s="14"/>
      <c r="E951" s="15"/>
      <c r="F951" s="15"/>
      <c r="G951" s="15"/>
      <c r="H951" s="15"/>
      <c r="I951" s="15"/>
      <c r="J951" s="15"/>
      <c r="M951" s="16"/>
      <c r="N951" s="17"/>
      <c r="P951" s="18"/>
    </row>
    <row r="952" spans="3:16" ht="15.75" customHeight="1" x14ac:dyDescent="0.3">
      <c r="C952" s="14"/>
      <c r="E952" s="15"/>
      <c r="F952" s="15"/>
      <c r="G952" s="15"/>
      <c r="H952" s="15"/>
      <c r="I952" s="15"/>
      <c r="J952" s="15"/>
      <c r="M952" s="16"/>
      <c r="N952" s="17"/>
      <c r="P952" s="18"/>
    </row>
    <row r="953" spans="3:16" ht="15.75" customHeight="1" x14ac:dyDescent="0.3">
      <c r="C953" s="14"/>
      <c r="E953" s="15"/>
      <c r="F953" s="15"/>
      <c r="G953" s="15"/>
      <c r="H953" s="15"/>
      <c r="I953" s="15"/>
      <c r="J953" s="15"/>
      <c r="M953" s="16"/>
      <c r="N953" s="17"/>
      <c r="P953" s="18"/>
    </row>
    <row r="954" spans="3:16" ht="15.75" customHeight="1" x14ac:dyDescent="0.3">
      <c r="C954" s="14"/>
      <c r="E954" s="15"/>
      <c r="F954" s="15"/>
      <c r="G954" s="15"/>
      <c r="H954" s="15"/>
      <c r="I954" s="15"/>
      <c r="J954" s="15"/>
      <c r="M954" s="16"/>
      <c r="N954" s="17"/>
      <c r="P954" s="18"/>
    </row>
    <row r="955" spans="3:16" ht="15.75" customHeight="1" x14ac:dyDescent="0.3">
      <c r="C955" s="14"/>
      <c r="E955" s="15"/>
      <c r="F955" s="15"/>
      <c r="G955" s="15"/>
      <c r="H955" s="15"/>
      <c r="I955" s="15"/>
      <c r="J955" s="15"/>
      <c r="M955" s="16"/>
      <c r="N955" s="17"/>
      <c r="P955" s="18"/>
    </row>
    <row r="956" spans="3:16" ht="15.75" customHeight="1" x14ac:dyDescent="0.3">
      <c r="C956" s="14"/>
      <c r="E956" s="15"/>
      <c r="F956" s="15"/>
      <c r="G956" s="15"/>
      <c r="H956" s="15"/>
      <c r="I956" s="15"/>
      <c r="J956" s="15"/>
      <c r="M956" s="16"/>
      <c r="N956" s="17"/>
      <c r="P956" s="18"/>
    </row>
    <row r="957" spans="3:16" ht="15.75" customHeight="1" x14ac:dyDescent="0.3">
      <c r="C957" s="14"/>
      <c r="E957" s="15"/>
      <c r="F957" s="15"/>
      <c r="G957" s="15"/>
      <c r="H957" s="15"/>
      <c r="I957" s="15"/>
      <c r="J957" s="15"/>
      <c r="M957" s="16"/>
      <c r="N957" s="17"/>
      <c r="P957" s="18"/>
    </row>
    <row r="958" spans="3:16" ht="15.75" customHeight="1" x14ac:dyDescent="0.3">
      <c r="C958" s="14"/>
      <c r="E958" s="15"/>
      <c r="F958" s="15"/>
      <c r="G958" s="15"/>
      <c r="H958" s="15"/>
      <c r="I958" s="15"/>
      <c r="J958" s="15"/>
      <c r="M958" s="16"/>
      <c r="N958" s="17"/>
      <c r="P958" s="18"/>
    </row>
    <row r="959" spans="3:16" ht="15.75" customHeight="1" x14ac:dyDescent="0.3">
      <c r="C959" s="14"/>
      <c r="E959" s="15"/>
      <c r="F959" s="15"/>
      <c r="G959" s="15"/>
      <c r="H959" s="15"/>
      <c r="I959" s="15"/>
      <c r="J959" s="15"/>
      <c r="M959" s="16"/>
      <c r="N959" s="17"/>
      <c r="P959" s="18"/>
    </row>
    <row r="960" spans="3:16" ht="15.75" customHeight="1" x14ac:dyDescent="0.3">
      <c r="C960" s="14"/>
      <c r="E960" s="15"/>
      <c r="F960" s="15"/>
      <c r="G960" s="15"/>
      <c r="H960" s="15"/>
      <c r="I960" s="15"/>
      <c r="J960" s="15"/>
      <c r="M960" s="16"/>
      <c r="N960" s="17"/>
      <c r="P960" s="18"/>
    </row>
    <row r="961" spans="3:16" ht="15.75" customHeight="1" x14ac:dyDescent="0.3">
      <c r="C961" s="14"/>
      <c r="E961" s="15"/>
      <c r="F961" s="15"/>
      <c r="G961" s="15"/>
      <c r="H961" s="15"/>
      <c r="I961" s="15"/>
      <c r="J961" s="15"/>
      <c r="M961" s="16"/>
      <c r="N961" s="17"/>
      <c r="P961" s="18"/>
    </row>
    <row r="962" spans="3:16" ht="15.75" customHeight="1" x14ac:dyDescent="0.3">
      <c r="C962" s="14"/>
      <c r="E962" s="15"/>
      <c r="F962" s="15"/>
      <c r="G962" s="15"/>
      <c r="H962" s="15"/>
      <c r="I962" s="15"/>
      <c r="J962" s="15"/>
      <c r="M962" s="16"/>
      <c r="N962" s="17"/>
      <c r="P962" s="18"/>
    </row>
    <row r="963" spans="3:16" ht="15.75" customHeight="1" x14ac:dyDescent="0.3">
      <c r="C963" s="14"/>
      <c r="E963" s="15"/>
      <c r="F963" s="15"/>
      <c r="G963" s="15"/>
      <c r="H963" s="15"/>
      <c r="I963" s="15"/>
      <c r="J963" s="15"/>
      <c r="M963" s="16"/>
      <c r="N963" s="17"/>
      <c r="P963" s="18"/>
    </row>
    <row r="964" spans="3:16" ht="15.75" customHeight="1" x14ac:dyDescent="0.3">
      <c r="C964" s="14"/>
      <c r="E964" s="15"/>
      <c r="F964" s="15"/>
      <c r="G964" s="15"/>
      <c r="H964" s="15"/>
      <c r="I964" s="15"/>
      <c r="J964" s="15"/>
      <c r="M964" s="16"/>
      <c r="N964" s="17"/>
      <c r="P964" s="18"/>
    </row>
    <row r="965" spans="3:16" ht="15.75" customHeight="1" x14ac:dyDescent="0.3">
      <c r="C965" s="14"/>
      <c r="E965" s="15"/>
      <c r="F965" s="15"/>
      <c r="G965" s="15"/>
      <c r="H965" s="15"/>
      <c r="I965" s="15"/>
      <c r="J965" s="15"/>
      <c r="M965" s="16"/>
      <c r="N965" s="17"/>
      <c r="P965" s="18"/>
    </row>
    <row r="966" spans="3:16" ht="15.75" customHeight="1" x14ac:dyDescent="0.3">
      <c r="C966" s="14"/>
      <c r="E966" s="15"/>
      <c r="F966" s="15"/>
      <c r="G966" s="15"/>
      <c r="H966" s="15"/>
      <c r="I966" s="15"/>
      <c r="J966" s="15"/>
      <c r="M966" s="16"/>
      <c r="N966" s="17"/>
      <c r="P966" s="18"/>
    </row>
    <row r="967" spans="3:16" ht="15.75" customHeight="1" x14ac:dyDescent="0.3">
      <c r="C967" s="14"/>
      <c r="E967" s="15"/>
      <c r="F967" s="15"/>
      <c r="G967" s="15"/>
      <c r="H967" s="15"/>
      <c r="I967" s="15"/>
      <c r="J967" s="15"/>
      <c r="M967" s="16"/>
      <c r="N967" s="17"/>
      <c r="P967" s="18"/>
    </row>
    <row r="968" spans="3:16" ht="15.75" customHeight="1" x14ac:dyDescent="0.3">
      <c r="C968" s="14"/>
      <c r="E968" s="15"/>
      <c r="F968" s="15"/>
      <c r="G968" s="15"/>
      <c r="H968" s="15"/>
      <c r="I968" s="15"/>
      <c r="J968" s="15"/>
      <c r="M968" s="16"/>
      <c r="N968" s="17"/>
      <c r="P968" s="18"/>
    </row>
    <row r="969" spans="3:16" ht="15.75" customHeight="1" x14ac:dyDescent="0.3">
      <c r="C969" s="14"/>
      <c r="E969" s="15"/>
      <c r="F969" s="15"/>
      <c r="G969" s="15"/>
      <c r="H969" s="15"/>
      <c r="I969" s="15"/>
      <c r="J969" s="15"/>
      <c r="M969" s="16"/>
      <c r="N969" s="17"/>
      <c r="P969" s="18"/>
    </row>
    <row r="970" spans="3:16" ht="15.75" customHeight="1" x14ac:dyDescent="0.3">
      <c r="C970" s="14"/>
      <c r="E970" s="15"/>
      <c r="F970" s="15"/>
      <c r="G970" s="15"/>
      <c r="H970" s="15"/>
      <c r="I970" s="15"/>
      <c r="J970" s="15"/>
      <c r="M970" s="16"/>
      <c r="N970" s="17"/>
      <c r="P970" s="18"/>
    </row>
    <row r="971" spans="3:16" ht="15.75" customHeight="1" x14ac:dyDescent="0.3">
      <c r="C971" s="14"/>
      <c r="E971" s="15"/>
      <c r="F971" s="15"/>
      <c r="G971" s="15"/>
      <c r="H971" s="15"/>
      <c r="I971" s="15"/>
      <c r="J971" s="15"/>
      <c r="M971" s="16"/>
      <c r="N971" s="17"/>
      <c r="P971" s="18"/>
    </row>
    <row r="972" spans="3:16" ht="15.75" customHeight="1" x14ac:dyDescent="0.3">
      <c r="C972" s="14"/>
      <c r="E972" s="15"/>
      <c r="F972" s="15"/>
      <c r="G972" s="15"/>
      <c r="H972" s="15"/>
      <c r="I972" s="15"/>
      <c r="J972" s="15"/>
      <c r="M972" s="16"/>
      <c r="N972" s="17"/>
      <c r="P972" s="18"/>
    </row>
    <row r="973" spans="3:16" ht="15.75" customHeight="1" x14ac:dyDescent="0.3">
      <c r="C973" s="14"/>
      <c r="E973" s="15"/>
      <c r="F973" s="15"/>
      <c r="G973" s="15"/>
      <c r="H973" s="15"/>
      <c r="I973" s="15"/>
      <c r="J973" s="15"/>
      <c r="M973" s="16"/>
      <c r="N973" s="17"/>
      <c r="P973" s="18"/>
    </row>
    <row r="974" spans="3:16" ht="15.75" customHeight="1" x14ac:dyDescent="0.3">
      <c r="C974" s="14"/>
      <c r="E974" s="15"/>
      <c r="F974" s="15"/>
      <c r="G974" s="15"/>
      <c r="H974" s="15"/>
      <c r="I974" s="15"/>
      <c r="J974" s="15"/>
      <c r="M974" s="16"/>
      <c r="N974" s="17"/>
      <c r="P974" s="18"/>
    </row>
    <row r="975" spans="3:16" ht="15.75" customHeight="1" x14ac:dyDescent="0.3">
      <c r="C975" s="14"/>
      <c r="E975" s="15"/>
      <c r="F975" s="15"/>
      <c r="G975" s="15"/>
      <c r="H975" s="15"/>
      <c r="I975" s="15"/>
      <c r="J975" s="15"/>
      <c r="M975" s="16"/>
      <c r="N975" s="17"/>
      <c r="P975" s="18"/>
    </row>
    <row r="976" spans="3:16" ht="15.75" customHeight="1" x14ac:dyDescent="0.3">
      <c r="C976" s="14"/>
      <c r="E976" s="15"/>
      <c r="F976" s="15"/>
      <c r="G976" s="15"/>
      <c r="H976" s="15"/>
      <c r="I976" s="15"/>
      <c r="J976" s="15"/>
      <c r="M976" s="16"/>
      <c r="N976" s="17"/>
      <c r="P976" s="18"/>
    </row>
    <row r="977" spans="3:16" ht="15.75" customHeight="1" x14ac:dyDescent="0.3">
      <c r="C977" s="14"/>
      <c r="E977" s="15"/>
      <c r="F977" s="15"/>
      <c r="G977" s="15"/>
      <c r="H977" s="15"/>
      <c r="I977" s="15"/>
      <c r="J977" s="15"/>
      <c r="M977" s="16"/>
      <c r="N977" s="17"/>
      <c r="P977" s="18"/>
    </row>
    <row r="978" spans="3:16" ht="15.75" customHeight="1" x14ac:dyDescent="0.3">
      <c r="C978" s="14"/>
      <c r="E978" s="15"/>
      <c r="F978" s="15"/>
      <c r="G978" s="15"/>
      <c r="H978" s="15"/>
      <c r="I978" s="15"/>
      <c r="J978" s="15"/>
      <c r="M978" s="16"/>
      <c r="N978" s="17"/>
      <c r="P978" s="18"/>
    </row>
    <row r="979" spans="3:16" ht="15.75" customHeight="1" x14ac:dyDescent="0.3">
      <c r="C979" s="14"/>
      <c r="E979" s="15"/>
      <c r="F979" s="15"/>
      <c r="G979" s="15"/>
      <c r="H979" s="15"/>
      <c r="I979" s="15"/>
      <c r="J979" s="15"/>
      <c r="M979" s="16"/>
      <c r="N979" s="17"/>
      <c r="P979" s="18"/>
    </row>
    <row r="980" spans="3:16" ht="15.75" customHeight="1" x14ac:dyDescent="0.3">
      <c r="C980" s="14"/>
      <c r="E980" s="15"/>
      <c r="F980" s="15"/>
      <c r="G980" s="15"/>
      <c r="H980" s="15"/>
      <c r="I980" s="15"/>
      <c r="J980" s="15"/>
      <c r="M980" s="16"/>
      <c r="N980" s="17"/>
      <c r="P980" s="18"/>
    </row>
    <row r="981" spans="3:16" ht="15.75" customHeight="1" x14ac:dyDescent="0.3">
      <c r="C981" s="14"/>
      <c r="E981" s="15"/>
      <c r="F981" s="15"/>
      <c r="G981" s="15"/>
      <c r="H981" s="15"/>
      <c r="I981" s="15"/>
      <c r="J981" s="15"/>
      <c r="M981" s="16"/>
      <c r="N981" s="17"/>
      <c r="P981" s="18"/>
    </row>
    <row r="982" spans="3:16" ht="15.75" customHeight="1" x14ac:dyDescent="0.3">
      <c r="C982" s="14"/>
      <c r="E982" s="15"/>
      <c r="F982" s="15"/>
      <c r="G982" s="15"/>
      <c r="H982" s="15"/>
      <c r="I982" s="15"/>
      <c r="J982" s="15"/>
      <c r="M982" s="16"/>
      <c r="N982" s="17"/>
      <c r="P982" s="18"/>
    </row>
    <row r="983" spans="3:16" ht="15.75" customHeight="1" x14ac:dyDescent="0.3">
      <c r="C983" s="14"/>
      <c r="E983" s="15"/>
      <c r="F983" s="15"/>
      <c r="G983" s="15"/>
      <c r="H983" s="15"/>
      <c r="I983" s="15"/>
      <c r="J983" s="15"/>
      <c r="M983" s="16"/>
      <c r="N983" s="17"/>
      <c r="P983" s="18"/>
    </row>
    <row r="984" spans="3:16" ht="15.75" customHeight="1" x14ac:dyDescent="0.3">
      <c r="C984" s="14"/>
      <c r="E984" s="15"/>
      <c r="F984" s="15"/>
      <c r="G984" s="15"/>
      <c r="H984" s="15"/>
      <c r="I984" s="15"/>
      <c r="J984" s="15"/>
      <c r="M984" s="16"/>
      <c r="N984" s="17"/>
      <c r="P984" s="18"/>
    </row>
    <row r="985" spans="3:16" ht="15.75" customHeight="1" x14ac:dyDescent="0.3">
      <c r="C985" s="14"/>
      <c r="E985" s="15"/>
      <c r="F985" s="15"/>
      <c r="G985" s="15"/>
      <c r="H985" s="15"/>
      <c r="I985" s="15"/>
      <c r="J985" s="15"/>
      <c r="M985" s="16"/>
      <c r="N985" s="17"/>
      <c r="P985" s="18"/>
    </row>
    <row r="986" spans="3:16" ht="15.75" customHeight="1" x14ac:dyDescent="0.3">
      <c r="C986" s="14"/>
      <c r="E986" s="15"/>
      <c r="F986" s="15"/>
      <c r="G986" s="15"/>
      <c r="H986" s="15"/>
      <c r="I986" s="15"/>
      <c r="J986" s="15"/>
      <c r="M986" s="16"/>
      <c r="N986" s="17"/>
      <c r="P986" s="18"/>
    </row>
    <row r="987" spans="3:16" ht="15.75" customHeight="1" x14ac:dyDescent="0.3">
      <c r="C987" s="14"/>
      <c r="E987" s="15"/>
      <c r="F987" s="15"/>
      <c r="G987" s="15"/>
      <c r="H987" s="15"/>
      <c r="I987" s="15"/>
      <c r="J987" s="15"/>
      <c r="M987" s="16"/>
      <c r="N987" s="17"/>
      <c r="P987" s="18"/>
    </row>
    <row r="988" spans="3:16" ht="15.75" customHeight="1" x14ac:dyDescent="0.3">
      <c r="C988" s="14"/>
      <c r="E988" s="15"/>
      <c r="F988" s="15"/>
      <c r="G988" s="15"/>
      <c r="H988" s="15"/>
      <c r="I988" s="15"/>
      <c r="J988" s="15"/>
      <c r="M988" s="16"/>
      <c r="N988" s="17"/>
      <c r="P988" s="18"/>
    </row>
    <row r="989" spans="3:16" ht="15.75" customHeight="1" x14ac:dyDescent="0.3">
      <c r="C989" s="14"/>
      <c r="E989" s="15"/>
      <c r="F989" s="15"/>
      <c r="G989" s="15"/>
      <c r="H989" s="15"/>
      <c r="I989" s="15"/>
      <c r="J989" s="15"/>
      <c r="M989" s="16"/>
      <c r="N989" s="17"/>
      <c r="P989" s="18"/>
    </row>
    <row r="990" spans="3:16" ht="15.75" customHeight="1" x14ac:dyDescent="0.3">
      <c r="C990" s="14"/>
      <c r="E990" s="15"/>
      <c r="F990" s="15"/>
      <c r="G990" s="15"/>
      <c r="H990" s="15"/>
      <c r="I990" s="15"/>
      <c r="J990" s="15"/>
      <c r="M990" s="16"/>
      <c r="N990" s="17"/>
      <c r="P990" s="18"/>
    </row>
    <row r="991" spans="3:16" ht="15.75" customHeight="1" x14ac:dyDescent="0.3">
      <c r="C991" s="14"/>
      <c r="E991" s="15"/>
      <c r="F991" s="15"/>
      <c r="G991" s="15"/>
      <c r="H991" s="15"/>
      <c r="I991" s="15"/>
      <c r="J991" s="15"/>
      <c r="M991" s="16"/>
      <c r="N991" s="17"/>
      <c r="P991" s="18"/>
    </row>
    <row r="992" spans="3:16" ht="15.75" customHeight="1" x14ac:dyDescent="0.3">
      <c r="C992" s="14"/>
      <c r="E992" s="15"/>
      <c r="F992" s="15"/>
      <c r="G992" s="15"/>
      <c r="H992" s="15"/>
      <c r="I992" s="15"/>
      <c r="J992" s="15"/>
      <c r="M992" s="16"/>
      <c r="N992" s="17"/>
      <c r="P992" s="18"/>
    </row>
    <row r="993" spans="3:16" ht="15.75" customHeight="1" x14ac:dyDescent="0.3">
      <c r="C993" s="14"/>
      <c r="E993" s="15"/>
      <c r="F993" s="15"/>
      <c r="G993" s="15"/>
      <c r="H993" s="15"/>
      <c r="I993" s="15"/>
      <c r="J993" s="15"/>
      <c r="M993" s="16"/>
      <c r="N993" s="17"/>
      <c r="P993" s="18"/>
    </row>
    <row r="994" spans="3:16" ht="15.75" customHeight="1" x14ac:dyDescent="0.3">
      <c r="C994" s="14"/>
      <c r="E994" s="15"/>
      <c r="F994" s="15"/>
      <c r="G994" s="15"/>
      <c r="H994" s="15"/>
      <c r="I994" s="15"/>
      <c r="J994" s="15"/>
      <c r="M994" s="16"/>
      <c r="N994" s="17"/>
      <c r="P994" s="18"/>
    </row>
    <row r="995" spans="3:16" ht="15.75" customHeight="1" x14ac:dyDescent="0.3">
      <c r="C995" s="14"/>
      <c r="E995" s="15"/>
      <c r="F995" s="15"/>
      <c r="G995" s="15"/>
      <c r="H995" s="15"/>
      <c r="I995" s="15"/>
      <c r="J995" s="15"/>
      <c r="M995" s="16"/>
      <c r="N995" s="17"/>
      <c r="P995" s="18"/>
    </row>
    <row r="996" spans="3:16" ht="15.75" customHeight="1" x14ac:dyDescent="0.3">
      <c r="C996" s="14"/>
      <c r="E996" s="15"/>
      <c r="F996" s="15"/>
      <c r="G996" s="15"/>
      <c r="H996" s="15"/>
      <c r="I996" s="15"/>
      <c r="J996" s="15"/>
      <c r="M996" s="16"/>
      <c r="N996" s="17"/>
      <c r="P996" s="18"/>
    </row>
    <row r="997" spans="3:16" ht="15.75" customHeight="1" x14ac:dyDescent="0.3">
      <c r="C997" s="14"/>
      <c r="E997" s="15"/>
      <c r="F997" s="15"/>
      <c r="G997" s="15"/>
      <c r="H997" s="15"/>
      <c r="I997" s="15"/>
      <c r="J997" s="15"/>
      <c r="M997" s="16"/>
      <c r="N997" s="17"/>
      <c r="P997" s="18"/>
    </row>
    <row r="998" spans="3:16" ht="15.75" customHeight="1" x14ac:dyDescent="0.3">
      <c r="C998" s="14"/>
      <c r="E998" s="15"/>
      <c r="F998" s="15"/>
      <c r="G998" s="15"/>
      <c r="H998" s="15"/>
      <c r="I998" s="15"/>
      <c r="J998" s="15"/>
      <c r="M998" s="16"/>
      <c r="N998" s="17"/>
      <c r="P998" s="18"/>
    </row>
    <row r="999" spans="3:16" ht="15.75" customHeight="1" x14ac:dyDescent="0.3">
      <c r="C999" s="14"/>
      <c r="E999" s="15"/>
      <c r="F999" s="15"/>
      <c r="G999" s="15"/>
      <c r="H999" s="15"/>
      <c r="I999" s="15"/>
      <c r="J999" s="15"/>
      <c r="M999" s="16"/>
      <c r="N999" s="17"/>
      <c r="P999" s="18"/>
    </row>
    <row r="1000" spans="3:16" ht="15.75" customHeight="1" x14ac:dyDescent="0.3">
      <c r="C1000" s="14"/>
      <c r="E1000" s="15"/>
      <c r="F1000" s="15"/>
      <c r="G1000" s="15"/>
      <c r="H1000" s="15"/>
      <c r="I1000" s="15"/>
      <c r="J1000" s="15"/>
      <c r="M1000" s="16"/>
      <c r="N1000" s="17"/>
      <c r="P1000" s="18"/>
    </row>
  </sheetData>
  <autoFilter ref="A1:P701" xr:uid="{00000000-0009-0000-0000-000000000000}"/>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B4D3-CA46-4829-B11C-7F130791397C}">
  <dimension ref="A1:O72"/>
  <sheetViews>
    <sheetView zoomScaleNormal="100" workbookViewId="0">
      <selection activeCell="I9" sqref="I9"/>
    </sheetView>
  </sheetViews>
  <sheetFormatPr defaultRowHeight="14.4" x14ac:dyDescent="0.3"/>
  <cols>
    <col min="1" max="1" width="12.5546875" bestFit="1" customWidth="1"/>
    <col min="2" max="4" width="16.6640625" bestFit="1" customWidth="1"/>
    <col min="5" max="5" width="15.6640625" bestFit="1" customWidth="1"/>
    <col min="6" max="7" width="16.6640625" bestFit="1" customWidth="1"/>
    <col min="8" max="31" width="10.44140625" bestFit="1" customWidth="1"/>
    <col min="32" max="274" width="11.44140625" bestFit="1" customWidth="1"/>
    <col min="275" max="660" width="13.109375" bestFit="1" customWidth="1"/>
    <col min="661" max="701" width="14.109375" bestFit="1" customWidth="1"/>
    <col min="702" max="702" width="12.109375" bestFit="1" customWidth="1"/>
  </cols>
  <sheetData>
    <row r="1" spans="1:15" x14ac:dyDescent="0.3">
      <c r="B1" s="19" t="s">
        <v>38</v>
      </c>
      <c r="I1" s="23"/>
      <c r="J1" s="23"/>
      <c r="K1" s="23"/>
      <c r="L1" s="23"/>
      <c r="M1" s="23"/>
      <c r="N1" s="23"/>
      <c r="O1" s="23"/>
    </row>
    <row r="2" spans="1:15" x14ac:dyDescent="0.3">
      <c r="B2">
        <v>2013</v>
      </c>
      <c r="D2">
        <v>2014</v>
      </c>
      <c r="F2" t="s">
        <v>40</v>
      </c>
      <c r="G2" t="s">
        <v>43</v>
      </c>
      <c r="I2" s="23"/>
      <c r="J2" s="23"/>
      <c r="K2" s="23"/>
      <c r="L2" s="23"/>
      <c r="M2" s="23"/>
      <c r="N2" s="23"/>
      <c r="O2" s="23"/>
    </row>
    <row r="3" spans="1:15" x14ac:dyDescent="0.3">
      <c r="A3" s="19" t="s">
        <v>36</v>
      </c>
      <c r="B3" t="s">
        <v>39</v>
      </c>
      <c r="C3" t="s">
        <v>42</v>
      </c>
      <c r="D3" t="s">
        <v>39</v>
      </c>
      <c r="E3" t="s">
        <v>42</v>
      </c>
      <c r="I3" s="23"/>
      <c r="J3" s="23"/>
      <c r="K3" s="23"/>
      <c r="L3" s="23"/>
      <c r="M3" s="23"/>
      <c r="N3" s="23"/>
      <c r="O3" s="23"/>
    </row>
    <row r="4" spans="1:15" x14ac:dyDescent="0.3">
      <c r="A4" s="20" t="s">
        <v>32</v>
      </c>
      <c r="B4" s="21">
        <v>12278012.529999999</v>
      </c>
      <c r="C4" s="21">
        <v>9540829.5299999975</v>
      </c>
      <c r="D4" s="21">
        <v>45851003.529999986</v>
      </c>
      <c r="E4" s="21">
        <v>33655174.530000001</v>
      </c>
      <c r="F4" s="21">
        <v>58129016.059999987</v>
      </c>
      <c r="G4" s="21">
        <v>43196004.060000002</v>
      </c>
      <c r="I4" s="23"/>
      <c r="J4" s="23"/>
      <c r="K4" s="23"/>
      <c r="L4" s="23"/>
      <c r="M4" s="23"/>
      <c r="N4" s="23"/>
      <c r="O4" s="23"/>
    </row>
    <row r="5" spans="1:15" x14ac:dyDescent="0.3">
      <c r="A5" s="20" t="s">
        <v>18</v>
      </c>
      <c r="B5" s="21">
        <v>1501077.8599999999</v>
      </c>
      <c r="C5" s="21">
        <v>132980.85999999999</v>
      </c>
      <c r="D5" s="21">
        <v>12754768.025</v>
      </c>
      <c r="E5" s="21">
        <v>2134362.0250000004</v>
      </c>
      <c r="F5" s="21">
        <v>14255845.885</v>
      </c>
      <c r="G5" s="21">
        <v>2267342.8850000002</v>
      </c>
    </row>
    <row r="6" spans="1:15" x14ac:dyDescent="0.3">
      <c r="A6" s="20" t="s">
        <v>24</v>
      </c>
      <c r="B6" s="21">
        <v>4157183.0400000005</v>
      </c>
      <c r="C6" s="21">
        <v>639158.04</v>
      </c>
      <c r="D6" s="21">
        <v>12004608.839999996</v>
      </c>
      <c r="E6" s="21">
        <v>2246586.8400000003</v>
      </c>
      <c r="F6" s="21">
        <v>16161791.879999997</v>
      </c>
      <c r="G6" s="21">
        <v>2885744.8800000004</v>
      </c>
    </row>
    <row r="7" spans="1:15" x14ac:dyDescent="0.3">
      <c r="A7" s="20" t="s">
        <v>29</v>
      </c>
      <c r="B7" s="21">
        <v>6737217.0899999999</v>
      </c>
      <c r="C7" s="21">
        <v>1922323.0899999999</v>
      </c>
      <c r="D7" s="21">
        <v>29656321.860000014</v>
      </c>
      <c r="E7" s="21">
        <v>6257509.8599999975</v>
      </c>
      <c r="F7" s="21">
        <v>36393538.950000018</v>
      </c>
      <c r="G7" s="21">
        <v>8179832.9499999974</v>
      </c>
    </row>
    <row r="8" spans="1:15" x14ac:dyDescent="0.3">
      <c r="A8" s="20" t="s">
        <v>30</v>
      </c>
      <c r="B8" s="21">
        <v>10933819.76</v>
      </c>
      <c r="C8" s="21">
        <v>5358469.76</v>
      </c>
      <c r="D8" s="21">
        <v>26807179.705000002</v>
      </c>
      <c r="E8" s="21">
        <v>16438462.705000002</v>
      </c>
      <c r="F8" s="21">
        <v>37740999.465000004</v>
      </c>
      <c r="G8" s="21">
        <v>21796932.465000004</v>
      </c>
    </row>
    <row r="9" spans="1:15" x14ac:dyDescent="0.3">
      <c r="A9" s="20" t="s">
        <v>31</v>
      </c>
      <c r="B9" s="21">
        <v>15797427.23</v>
      </c>
      <c r="C9" s="21">
        <v>11274185.230000002</v>
      </c>
      <c r="D9" s="21">
        <v>46910243.790000007</v>
      </c>
      <c r="E9" s="21">
        <v>33956172.790000007</v>
      </c>
      <c r="F9" s="21">
        <v>62707671.020000011</v>
      </c>
      <c r="G9" s="21">
        <v>45230358.020000011</v>
      </c>
    </row>
    <row r="10" spans="1:15" x14ac:dyDescent="0.3">
      <c r="A10" s="20" t="s">
        <v>37</v>
      </c>
      <c r="B10" s="21">
        <v>51404737.510000005</v>
      </c>
      <c r="C10" s="21">
        <v>28867946.509999998</v>
      </c>
      <c r="D10" s="21">
        <v>173984125.75</v>
      </c>
      <c r="E10" s="21">
        <v>94688268.750000015</v>
      </c>
      <c r="F10" s="21">
        <v>225388863.26000002</v>
      </c>
      <c r="G10" s="21">
        <v>123556215.26000002</v>
      </c>
    </row>
    <row r="13" spans="1:15" x14ac:dyDescent="0.3">
      <c r="A13" s="19" t="s">
        <v>36</v>
      </c>
      <c r="B13" t="s">
        <v>39</v>
      </c>
      <c r="C13" t="s">
        <v>42</v>
      </c>
    </row>
    <row r="14" spans="1:15" x14ac:dyDescent="0.3">
      <c r="A14" s="20" t="s">
        <v>25</v>
      </c>
      <c r="B14" s="21">
        <v>18690911.640000008</v>
      </c>
      <c r="C14" s="21">
        <v>18207121.140000008</v>
      </c>
    </row>
    <row r="15" spans="1:15" x14ac:dyDescent="0.3">
      <c r="A15" s="20" t="s">
        <v>26</v>
      </c>
      <c r="B15" s="21">
        <v>34852382.375</v>
      </c>
      <c r="C15" s="21">
        <v>14626142.375</v>
      </c>
    </row>
    <row r="16" spans="1:15" x14ac:dyDescent="0.3">
      <c r="A16" s="20" t="s">
        <v>16</v>
      </c>
      <c r="B16" s="21">
        <v>96836080.169999957</v>
      </c>
      <c r="C16" s="21">
        <v>55719992.670000046</v>
      </c>
    </row>
    <row r="17" spans="1:3" x14ac:dyDescent="0.3">
      <c r="A17" s="20" t="s">
        <v>21</v>
      </c>
      <c r="B17" s="21">
        <v>16426858.074999996</v>
      </c>
      <c r="C17" s="21">
        <v>14705078.074999996</v>
      </c>
    </row>
    <row r="18" spans="1:3" x14ac:dyDescent="0.3">
      <c r="A18" s="20" t="s">
        <v>27</v>
      </c>
      <c r="B18" s="21">
        <v>58582631</v>
      </c>
      <c r="C18" s="21">
        <v>20297881</v>
      </c>
    </row>
    <row r="19" spans="1:3" x14ac:dyDescent="0.3">
      <c r="A19" s="20" t="s">
        <v>37</v>
      </c>
      <c r="B19" s="21">
        <v>225388863.25999996</v>
      </c>
      <c r="C19" s="21">
        <v>123556215.26000005</v>
      </c>
    </row>
    <row r="24" spans="1:3" x14ac:dyDescent="0.3">
      <c r="A24" s="19" t="s">
        <v>15</v>
      </c>
      <c r="B24" t="s">
        <v>41</v>
      </c>
    </row>
    <row r="26" spans="1:3" x14ac:dyDescent="0.3">
      <c r="A26" s="19" t="s">
        <v>36</v>
      </c>
      <c r="B26" t="s">
        <v>39</v>
      </c>
      <c r="C26" t="s">
        <v>42</v>
      </c>
    </row>
    <row r="27" spans="1:3" x14ac:dyDescent="0.3">
      <c r="A27" s="20" t="s">
        <v>17</v>
      </c>
      <c r="B27" s="21">
        <v>47739549.385000005</v>
      </c>
      <c r="C27" s="21">
        <v>26381123.385000005</v>
      </c>
    </row>
    <row r="28" spans="1:3" x14ac:dyDescent="0.3">
      <c r="A28" s="20" t="s">
        <v>22</v>
      </c>
      <c r="B28" s="21">
        <v>46882355.279999994</v>
      </c>
      <c r="C28" s="21">
        <v>26309203.780000009</v>
      </c>
    </row>
    <row r="29" spans="1:3" x14ac:dyDescent="0.3">
      <c r="A29" s="20" t="s">
        <v>20</v>
      </c>
      <c r="B29" s="21">
        <v>43745932.820000023</v>
      </c>
      <c r="C29" s="21">
        <v>23920980.820000019</v>
      </c>
    </row>
    <row r="30" spans="1:3" x14ac:dyDescent="0.3">
      <c r="A30" s="20" t="s">
        <v>23</v>
      </c>
      <c r="B30" s="21">
        <v>38922624.109999999</v>
      </c>
      <c r="C30" s="21">
        <v>20880795.109999999</v>
      </c>
    </row>
    <row r="31" spans="1:3" x14ac:dyDescent="0.3">
      <c r="A31" s="20" t="s">
        <v>28</v>
      </c>
      <c r="B31" s="21">
        <v>48098401.664999999</v>
      </c>
      <c r="C31" s="21">
        <v>26064112.165000014</v>
      </c>
    </row>
    <row r="32" spans="1:3" x14ac:dyDescent="0.3">
      <c r="A32" s="20" t="s">
        <v>37</v>
      </c>
      <c r="B32" s="21">
        <v>225388863.26000002</v>
      </c>
      <c r="C32" s="21">
        <v>123556215.26000005</v>
      </c>
    </row>
    <row r="36" spans="1:3" x14ac:dyDescent="0.3">
      <c r="A36" s="19" t="s">
        <v>36</v>
      </c>
      <c r="B36" t="s">
        <v>39</v>
      </c>
    </row>
    <row r="37" spans="1:3" x14ac:dyDescent="0.3">
      <c r="A37" s="20" t="s">
        <v>44</v>
      </c>
      <c r="B37" s="21">
        <v>51404737.50999999</v>
      </c>
    </row>
    <row r="38" spans="1:3" x14ac:dyDescent="0.3">
      <c r="A38" s="20" t="s">
        <v>45</v>
      </c>
      <c r="B38" s="21">
        <v>173984125.74999979</v>
      </c>
    </row>
    <row r="39" spans="1:3" x14ac:dyDescent="0.3">
      <c r="A39" s="20" t="s">
        <v>37</v>
      </c>
      <c r="B39" s="21">
        <v>225388863.25999978</v>
      </c>
    </row>
    <row r="43" spans="1:3" x14ac:dyDescent="0.3">
      <c r="A43" s="19" t="s">
        <v>36</v>
      </c>
      <c r="B43" t="s">
        <v>42</v>
      </c>
      <c r="C43" t="s">
        <v>39</v>
      </c>
    </row>
    <row r="44" spans="1:3" x14ac:dyDescent="0.3">
      <c r="A44" s="20">
        <v>2013</v>
      </c>
      <c r="B44" s="21">
        <v>28867946.510000009</v>
      </c>
      <c r="C44" s="21">
        <v>51404737.50999999</v>
      </c>
    </row>
    <row r="45" spans="1:3" x14ac:dyDescent="0.3">
      <c r="A45" s="20">
        <v>2014</v>
      </c>
      <c r="B45" s="21">
        <v>94688268.749999985</v>
      </c>
      <c r="C45" s="21">
        <v>173984125.74999979</v>
      </c>
    </row>
    <row r="46" spans="1:3" x14ac:dyDescent="0.3">
      <c r="A46" s="20" t="s">
        <v>37</v>
      </c>
      <c r="B46" s="21">
        <v>123556215.25999999</v>
      </c>
      <c r="C46" s="21">
        <v>225388863.25999978</v>
      </c>
    </row>
    <row r="50" spans="1:3" x14ac:dyDescent="0.3">
      <c r="A50" s="19" t="s">
        <v>36</v>
      </c>
      <c r="B50" t="s">
        <v>39</v>
      </c>
      <c r="C50" t="s">
        <v>42</v>
      </c>
    </row>
    <row r="51" spans="1:3" x14ac:dyDescent="0.3">
      <c r="A51" s="20" t="s">
        <v>35</v>
      </c>
      <c r="B51" s="21">
        <v>78463697.724999994</v>
      </c>
      <c r="C51" s="21">
        <v>44480077.725000016</v>
      </c>
    </row>
    <row r="52" spans="1:3" x14ac:dyDescent="0.3">
      <c r="A52" s="20" t="s">
        <v>33</v>
      </c>
      <c r="B52" s="21">
        <v>54428765.200000003</v>
      </c>
      <c r="C52" s="21">
        <v>25987844.199999984</v>
      </c>
    </row>
    <row r="53" spans="1:3" x14ac:dyDescent="0.3">
      <c r="A53" s="20" t="s">
        <v>34</v>
      </c>
      <c r="B53" s="21">
        <v>75294568.334999949</v>
      </c>
      <c r="C53" s="21">
        <v>42093660.335000031</v>
      </c>
    </row>
    <row r="54" spans="1:3" x14ac:dyDescent="0.3">
      <c r="A54" s="20" t="s">
        <v>19</v>
      </c>
      <c r="B54" s="21">
        <v>17201832</v>
      </c>
      <c r="C54" s="21">
        <v>10994633</v>
      </c>
    </row>
    <row r="55" spans="1:3" x14ac:dyDescent="0.3">
      <c r="A55" s="20" t="s">
        <v>37</v>
      </c>
      <c r="B55" s="21">
        <v>225388863.25999993</v>
      </c>
      <c r="C55" s="21">
        <v>123556215.26000002</v>
      </c>
    </row>
    <row r="59" spans="1:3" x14ac:dyDescent="0.3">
      <c r="A59" s="19" t="s">
        <v>36</v>
      </c>
      <c r="B59" t="s">
        <v>39</v>
      </c>
    </row>
    <row r="60" spans="1:3" x14ac:dyDescent="0.3">
      <c r="A60" s="20" t="s">
        <v>46</v>
      </c>
      <c r="B60" s="21">
        <v>13195504.680000002</v>
      </c>
    </row>
    <row r="61" spans="1:3" x14ac:dyDescent="0.3">
      <c r="A61" s="20" t="s">
        <v>47</v>
      </c>
      <c r="B61" s="21">
        <v>13446515.389999999</v>
      </c>
    </row>
    <row r="62" spans="1:3" x14ac:dyDescent="0.3">
      <c r="A62" s="20" t="s">
        <v>48</v>
      </c>
      <c r="B62" s="21">
        <v>10514217.869999999</v>
      </c>
    </row>
    <row r="63" spans="1:3" x14ac:dyDescent="0.3">
      <c r="A63" s="20" t="s">
        <v>49</v>
      </c>
      <c r="B63" s="21">
        <v>13807294.069999998</v>
      </c>
    </row>
    <row r="64" spans="1:3" x14ac:dyDescent="0.3">
      <c r="A64" s="20" t="s">
        <v>50</v>
      </c>
      <c r="B64" s="21">
        <v>11424201.059999997</v>
      </c>
    </row>
    <row r="65" spans="1:2" x14ac:dyDescent="0.3">
      <c r="A65" s="20" t="s">
        <v>51</v>
      </c>
      <c r="B65" s="21">
        <v>19971343.820000004</v>
      </c>
    </row>
    <row r="66" spans="1:2" x14ac:dyDescent="0.3">
      <c r="A66" s="20" t="s">
        <v>52</v>
      </c>
      <c r="B66" s="21">
        <v>14352140.18</v>
      </c>
    </row>
    <row r="67" spans="1:2" x14ac:dyDescent="0.3">
      <c r="A67" s="20" t="s">
        <v>53</v>
      </c>
      <c r="B67" s="21">
        <v>11999552.42</v>
      </c>
    </row>
    <row r="68" spans="1:2" x14ac:dyDescent="0.3">
      <c r="A68" s="20" t="s">
        <v>54</v>
      </c>
      <c r="B68" s="21">
        <v>21095547.27</v>
      </c>
    </row>
    <row r="69" spans="1:2" x14ac:dyDescent="0.3">
      <c r="A69" s="20" t="s">
        <v>55</v>
      </c>
      <c r="B69" s="21">
        <v>40427330.020000003</v>
      </c>
    </row>
    <row r="70" spans="1:2" x14ac:dyDescent="0.3">
      <c r="A70" s="20" t="s">
        <v>56</v>
      </c>
      <c r="B70" s="21">
        <v>23718761.500000004</v>
      </c>
    </row>
    <row r="71" spans="1:2" x14ac:dyDescent="0.3">
      <c r="A71" s="20" t="s">
        <v>57</v>
      </c>
      <c r="B71" s="21">
        <v>31436454.980000008</v>
      </c>
    </row>
    <row r="72" spans="1:2" x14ac:dyDescent="0.3">
      <c r="A72" s="20" t="s">
        <v>37</v>
      </c>
      <c r="B72" s="21">
        <v>225388863.26000002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CFA4-3209-43E0-84CF-CF00248094AA}">
  <dimension ref="A1:X3"/>
  <sheetViews>
    <sheetView showGridLines="0" tabSelected="1" workbookViewId="0">
      <selection sqref="A1:X3"/>
    </sheetView>
  </sheetViews>
  <sheetFormatPr defaultRowHeight="14.4" x14ac:dyDescent="0.3"/>
  <sheetData>
    <row r="1" spans="1:24" x14ac:dyDescent="0.3">
      <c r="A1" s="24" t="s">
        <v>58</v>
      </c>
      <c r="B1" s="25"/>
      <c r="C1" s="25"/>
      <c r="D1" s="25"/>
      <c r="E1" s="25"/>
      <c r="F1" s="25"/>
      <c r="G1" s="25"/>
      <c r="H1" s="25"/>
      <c r="I1" s="25"/>
      <c r="J1" s="25"/>
      <c r="K1" s="25"/>
      <c r="L1" s="25"/>
      <c r="M1" s="25"/>
      <c r="N1" s="25"/>
      <c r="O1" s="25"/>
      <c r="P1" s="25"/>
      <c r="Q1" s="25"/>
      <c r="R1" s="25"/>
      <c r="S1" s="25"/>
      <c r="T1" s="25"/>
      <c r="U1" s="25"/>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 Data Analysis </vt:lpstr>
      <vt:lpstr>Pivot Table </vt:lpstr>
      <vt:lpstr>Smart Finacial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dc:creator>
  <cp:lastModifiedBy>Nishant Kapse</cp:lastModifiedBy>
  <dcterms:created xsi:type="dcterms:W3CDTF">2014-01-28T02:45:41Z</dcterms:created>
  <dcterms:modified xsi:type="dcterms:W3CDTF">2026-02-13T18:23:17Z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